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OTI\Downloads\"/>
    </mc:Choice>
  </mc:AlternateContent>
  <xr:revisionPtr revIDLastSave="0" documentId="8_{67E50E56-7E80-4435-A434-1A65DB5532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ed_sales_data" sheetId="1" r:id="rId1"/>
    <sheet name="Summary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<sst xmlns="http://schemas.openxmlformats.org/spreadsheetml/2006/main" count="872" uniqueCount="261">
  <si>
    <t>order id</t>
  </si>
  <si>
    <t>order date</t>
  </si>
  <si>
    <t>customer name</t>
  </si>
  <si>
    <t>region</t>
  </si>
  <si>
    <t>product category</t>
  </si>
  <si>
    <t>sales</t>
  </si>
  <si>
    <t>quantity</t>
  </si>
  <si>
    <t>profit</t>
  </si>
  <si>
    <t>discount</t>
  </si>
  <si>
    <t>ORD0001</t>
  </si>
  <si>
    <t>Karthik Rao</t>
  </si>
  <si>
    <t>South</t>
  </si>
  <si>
    <t>Home Decor</t>
  </si>
  <si>
    <t>ORD0002</t>
  </si>
  <si>
    <t>Vikram Das</t>
  </si>
  <si>
    <t>North</t>
  </si>
  <si>
    <t>ORD0003</t>
  </si>
  <si>
    <t>Pooja Menon</t>
  </si>
  <si>
    <t>West</t>
  </si>
  <si>
    <t>Sports</t>
  </si>
  <si>
    <t>ORD0004</t>
  </si>
  <si>
    <t>Priya Sharma</t>
  </si>
  <si>
    <t>Clothing</t>
  </si>
  <si>
    <t>ORD0005</t>
  </si>
  <si>
    <t>Meera Nair</t>
  </si>
  <si>
    <t>ORD0006</t>
  </si>
  <si>
    <t>Rahul Verma</t>
  </si>
  <si>
    <t>ORD0007</t>
  </si>
  <si>
    <t>Rohit Gupta</t>
  </si>
  <si>
    <t>Electronics</t>
  </si>
  <si>
    <t>ORD0008</t>
  </si>
  <si>
    <t>Aditya Roy</t>
  </si>
  <si>
    <t>ORD0009</t>
  </si>
  <si>
    <t>Furniture</t>
  </si>
  <si>
    <t>ORD0010</t>
  </si>
  <si>
    <t>Office Supplies</t>
  </si>
  <si>
    <t>ORD0011</t>
  </si>
  <si>
    <t>Sanjay Iyer</t>
  </si>
  <si>
    <t>ORD0012</t>
  </si>
  <si>
    <t>ORD0013</t>
  </si>
  <si>
    <t>East</t>
  </si>
  <si>
    <t>ORD0014</t>
  </si>
  <si>
    <t>Aarav Kumar</t>
  </si>
  <si>
    <t>ORD0015</t>
  </si>
  <si>
    <t>ORD0016</t>
  </si>
  <si>
    <t>ORD0017</t>
  </si>
  <si>
    <t>Neha Joshi</t>
  </si>
  <si>
    <t>ORD0018</t>
  </si>
  <si>
    <t>ORD0019</t>
  </si>
  <si>
    <t>ORD0020</t>
  </si>
  <si>
    <t>ORD0021</t>
  </si>
  <si>
    <t>Ananya Singh</t>
  </si>
  <si>
    <t>ORD0022</t>
  </si>
  <si>
    <t>Arjun Patel</t>
  </si>
  <si>
    <t>ORD0023</t>
  </si>
  <si>
    <t>Sneha Reddy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</si>
  <si>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</si>
  <si>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</si>
  <si>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</si>
  <si>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</si>
  <si>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</si>
  <si>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</si>
  <si>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</si>
  <si>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</si>
  <si>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</si>
  <si>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</si>
  <si>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</si>
  <si>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</si>
  <si>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</si>
  <si>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</si>
  <si>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</si>
  <si>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</si>
  <si>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</si>
  <si>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</si>
  <si>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</si>
  <si>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</si>
  <si>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Isha Mehta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</si>
  <si>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</si>
  <si>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</si>
  <si>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</si>
  <si>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</si>
  <si>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</si>
  <si>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</si>
  <si>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</si>
  <si>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</si>
  <si>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</si>
  <si>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</si>
  <si>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</si>
  <si>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</si>
  <si>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</si>
  <si>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</si>
  <si>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</si>
  <si>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</si>
  <si>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</si>
  <si>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</si>
  <si>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</si>
  <si>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</si>
  <si>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</si>
  <si>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</si>
  <si>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</si>
  <si>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</si>
  <si>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</si>
  <si>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</si>
  <si>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</si>
  <si>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</si>
  <si>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</si>
  <si>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</si>
  <si>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</si>
  <si>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</si>
  <si>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</si>
  <si>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</si>
  <si>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</si>
  <si>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</si>
  <si>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</si>
  <si>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</si>
  <si>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</si>
  <si>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</si>
  <si>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</si>
  <si>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</si>
  <si>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</si>
  <si>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</si>
  <si>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</si>
  <si>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</si>
  <si>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</si>
  <si>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</si>
  <si>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</si>
  <si>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</si>
  <si>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</si>
  <si>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</si>
  <si>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</si>
  <si>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</si>
  <si>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</si>
  <si>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</si>
  <si>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</si>
  <si>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</si>
  <si>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</si>
  <si>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</si>
  <si>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</si>
  <si>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</si>
  <si>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</si>
  <si>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</si>
  <si>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</si>
  <si>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</si>
  <si>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</si>
  <si>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</si>
  <si>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</si>
  <si>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</si>
  <si>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</si>
  <si>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</si>
  <si>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</si>
  <si>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</si>
  <si>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</si>
  <si>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</si>
  <si>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</si>
  <si>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</si>
  <si>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</si>
  <si>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</si>
  <si>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</si>
  <si>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</si>
  <si>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</si>
  <si>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</si>
  <si>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</si>
  <si>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</si>
  <si>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</si>
  <si>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</si>
  <si>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</si>
  <si>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</si>
  <si>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</si>
  <si>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</si>
  <si>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</si>
  <si>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</si>
  <si>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</si>
  <si>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</si>
  <si>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</si>
  <si>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</si>
  <si>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</si>
  <si>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</si>
  <si>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</si>
  <si>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</si>
  <si>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</si>
  <si>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</si>
  <si>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</si>
  <si>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</si>
  <si>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</si>
  <si>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</si>
  <si>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</si>
  <si>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</si>
  <si>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</si>
  <si>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</si>
  <si>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</si>
  <si>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</si>
  <si>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</si>
  <si>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</si>
  <si>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</si>
  <si>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</si>
  <si>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</si>
  <si>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</si>
  <si>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</si>
  <si>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</si>
  <si>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</si>
  <si>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</si>
  <si>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</si>
  <si>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</si>
  <si>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</si>
  <si>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</si>
  <si>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</si>
  <si>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</si>
  <si>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</si>
  <si>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</si>
  <si>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</si>
  <si>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</si>
  <si>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</si>
  <si>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</si>
  <si>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</si>
  <si>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</si>
  <si>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</si>
  <si>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</si>
  <si>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</si>
  <si>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</si>
  <si>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</si>
  <si>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</si>
  <si>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</si>
  <si>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</si>
  <si>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</si>
  <si>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</si>
  <si>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</si>
  <si>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</si>
  <si>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</si>
  <si>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</si>
  <si>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</si>
  <si>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</si>
  <si>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</si>
  <si>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</si>
  <si>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</si>
  <si>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Sum of sales</t>
  </si>
  <si>
    <t xml:space="preserve">Total sales </t>
  </si>
  <si>
    <t>Sum of profit</t>
  </si>
  <si>
    <t>Total profit</t>
  </si>
  <si>
    <t>Row Labels</t>
  </si>
  <si>
    <t>Grand Total</t>
  </si>
  <si>
    <t>Total orders</t>
  </si>
  <si>
    <t>Total quantity sold</t>
  </si>
  <si>
    <t>Average order 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</si>
  <si>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</si>
  <si>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</si>
  <si>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</si>
  <si>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</si>
  <si>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</si>
  <si>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</si>
  <si>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</si>
  <si>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</si>
  <si>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</si>
  <si>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</si>
  <si>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</si>
  <si>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</si>
  <si>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Summary metrics</t>
  </si>
  <si>
    <t xml:space="preserve">Sales by Region </t>
  </si>
  <si>
    <t>Profit by Category</t>
  </si>
  <si>
    <t>Sales by Month</t>
  </si>
  <si>
    <t>Top 10 Customers</t>
  </si>
  <si>
    <t>Top 5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</si>
</sst>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28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 tint="4.9989318521683403E-2"/>
      <name val="Calibri"/>
      <family val="2"/>
      <scheme val="minor"/>
    </font>
    <font>
      <b/>
      <u/>
      <sz val="28"/>
      <color theme="1" tint="4.9989318521683403E-2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33" borderId="0" xfId="0" applyFont="1" applyFill="1"/>
    <xf numFmtId="0" fontId="19" fillId="33" borderId="0" xfId="0" applyFont="1" applyFill="1" applyAlignment="1">
      <alignment horizontal="center"/>
    </xf>
    <xf numFmtId="0" fontId="22" fillId="33" borderId="0" xfId="0" applyFont="1" applyFill="1"/>
    <xf numFmtId="0" fontId="0" fillId="33" borderId="0" xfId="0" applyFill="1" applyAlignment="1">
      <alignment horizontal="left"/>
    </xf>
    <xf numFmtId="0" fontId="24" fillId="33" borderId="0" xfId="0" applyFont="1" applyFill="1"/>
    <xf numFmtId="0" fontId="25" fillId="33" borderId="0" xfId="0" applyFont="1" applyFill="1" applyAlignment="1">
      <alignment horizontal="center"/>
    </xf>
    <xf numFmtId="0" fontId="26" fillId="33" borderId="0" xfId="0" applyFont="1" applyFill="1"/>
    <xf numFmtId="0" fontId="27" fillId="33" borderId="0" xfId="0" applyFont="1" applyFill="1"/>
    <xf numFmtId="0" fontId="0" fillId="33" borderId="10" xfId="0" applyFill="1" applyBorder="1"/>
    <xf numFmtId="0" fontId="0" fillId="33" borderId="10" xfId="0" applyFill="1" applyBorder="1" applyAlignment="1">
      <alignment horizontal="left"/>
    </xf>
    <xf numFmtId="14" fontId="0" fillId="33" borderId="10" xfId="0" applyNumberFormat="1" applyFill="1" applyBorder="1" applyAlignment="1">
      <alignment horizontal="left"/>
    </xf>
    <xf numFmtId="0" fontId="20" fillId="33" borderId="10" xfId="0" applyFont="1" applyFill="1" applyBorder="1"/>
    <xf numFmtId="0" fontId="20" fillId="33" borderId="0" xfId="0" applyFont="1" applyFill="1"/>
    <xf numFmtId="0" fontId="21" fillId="33" borderId="10" xfId="0" applyFont="1" applyFill="1" applyBorder="1"/>
    <xf numFmtId="0" fontId="21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0">
    <dxf>
      <font>
        <b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b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b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b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b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TI" refreshedDate="46167.798956134262" createdVersion="8" refreshedVersion="8" minRefreshableVersion="3" recordCount="200" xr:uid="{198EB81C-6752-4303-808B-B891FB4689B4}">
  <cacheSource type="worksheet">
    <worksheetSource ref="A1:I201" sheet="cleaned_sales_data"/>
  </cacheSource>
  <cacheFields count="11">
    <cacheField name="order id" numFmtId="0">
      <sharedItems count="2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</sharedItems>
    </cacheField>
    <cacheField name="order date" numFmtId="14">
      <sharedItems containsSemiMixedTypes="0" containsNonDate="0" containsDate="1" containsString="0" minDate="2025-01-01T00:00:00" maxDate="2026-01-02T00:00:00" count="155">
        <d v="2025-07-26T00:00:00"/>
        <d v="2025-07-16T00:00:00"/>
        <d v="2025-07-11T00:00:00"/>
        <d v="2025-06-23T00:00:00"/>
        <d v="2025-04-15T00:00:00"/>
        <d v="2025-07-03T00:00:00"/>
        <d v="2025-09-15T00:00:00"/>
        <d v="2025-02-11T00:00:00"/>
        <d v="2025-03-11T00:00:00"/>
        <d v="2025-10-07T00:00:00"/>
        <d v="2025-11-04T00:00:00"/>
        <d v="2025-03-31T00:00:00"/>
        <d v="2025-04-30T00:00:00"/>
        <d v="2025-05-28T00:00:00"/>
        <d v="2025-07-17T00:00:00"/>
        <d v="2025-07-24T00:00:00"/>
        <d v="2025-12-19T00:00:00"/>
        <d v="2025-12-17T00:00:00"/>
        <d v="2025-12-04T00:00:00"/>
        <d v="2026-01-01T00:00:00"/>
        <d v="2025-12-22T00:00:00"/>
        <d v="2025-12-28T00:00:00"/>
        <d v="2025-01-01T00:00:00"/>
        <d v="2025-04-16T00:00:00"/>
        <d v="2025-11-07T00:00:00"/>
        <d v="2025-01-17T00:00:00"/>
        <d v="2025-10-22T00:00:00"/>
        <d v="2025-08-24T00:00:00"/>
        <d v="2025-04-02T00:00:00"/>
        <d v="2025-04-05T00:00:00"/>
        <d v="2025-09-30T00:00:00"/>
        <d v="2025-12-02T00:00:00"/>
        <d v="2025-07-31T00:00:00"/>
        <d v="2025-09-19T00:00:00"/>
        <d v="2025-04-07T00:00:00"/>
        <d v="2025-10-14T00:00:00"/>
        <d v="2025-03-06T00:00:00"/>
        <d v="2025-03-27T00:00:00"/>
        <d v="2025-06-25T00:00:00"/>
        <d v="2025-09-24T00:00:00"/>
        <d v="2025-10-18T00:00:00"/>
        <d v="2025-06-10T00:00:00"/>
        <d v="2025-01-06T00:00:00"/>
        <d v="2025-01-21T00:00:00"/>
        <d v="2025-01-18T00:00:00"/>
        <d v="2025-01-28T00:00:00"/>
        <d v="2025-01-15T00:00:00"/>
        <d v="2025-05-11T00:00:00"/>
        <d v="2025-08-17T00:00:00"/>
        <d v="2025-02-16T00:00:00"/>
        <d v="2025-08-12T00:00:00"/>
        <d v="2025-09-26T00:00:00"/>
        <d v="2025-11-18T00:00:00"/>
        <d v="2025-03-23T00:00:00"/>
        <d v="2025-01-14T00:00:00"/>
        <d v="2025-07-12T00:00:00"/>
        <d v="2025-05-12T00:00:00"/>
        <d v="2025-07-09T00:00:00"/>
        <d v="2025-12-31T00:00:00"/>
        <d v="2025-06-16T00:00:00"/>
        <d v="2025-12-07T00:00:00"/>
        <d v="2025-01-10T00:00:00"/>
        <d v="2025-08-21T00:00:00"/>
        <d v="2025-02-12T00:00:00"/>
        <d v="2025-06-14T00:00:00"/>
        <d v="2025-05-27T00:00:00"/>
        <d v="2025-05-09T00:00:00"/>
        <d v="2025-09-14T00:00:00"/>
        <d v="2025-06-18T00:00:00"/>
        <d v="2025-10-12T00:00:00"/>
        <d v="2025-08-05T00:00:00"/>
        <d v="2025-05-04T00:00:00"/>
        <d v="2025-06-02T00:00:00"/>
        <d v="2025-04-22T00:00:00"/>
        <d v="2025-04-17T00:00:00"/>
        <d v="2025-09-23T00:00:00"/>
        <d v="2025-01-24T00:00:00"/>
        <d v="2025-11-25T00:00:00"/>
        <d v="2025-02-02T00:00:00"/>
        <d v="2025-11-06T00:00:00"/>
        <d v="2025-03-08T00:00:00"/>
        <d v="2025-10-10T00:00:00"/>
        <d v="2025-01-16T00:00:00"/>
        <d v="2025-09-17T00:00:00"/>
        <d v="2025-01-08T00:00:00"/>
        <d v="2025-04-21T00:00:00"/>
        <d v="2025-10-09T00:00:00"/>
        <d v="2025-12-18T00:00:00"/>
        <d v="2025-06-28T00:00:00"/>
        <d v="2025-04-13T00:00:00"/>
        <d v="2025-07-19T00:00:00"/>
        <d v="2025-03-30T00:00:00"/>
        <d v="2025-08-26T00:00:00"/>
        <d v="2025-11-12T00:00:00"/>
        <d v="2025-12-27T00:00:00"/>
        <d v="2025-05-06T00:00:00"/>
        <d v="2025-11-19T00:00:00"/>
        <d v="2025-04-04T00:00:00"/>
        <d v="2025-03-28T00:00:00"/>
        <d v="2025-11-11T00:00:00"/>
        <d v="2025-10-08T00:00:00"/>
        <d v="2025-05-10T00:00:00"/>
        <d v="2025-04-23T00:00:00"/>
        <d v="2025-06-30T00:00:00"/>
        <d v="2025-08-20T00:00:00"/>
        <d v="2025-05-25T00:00:00"/>
        <d v="2025-11-27T00:00:00"/>
        <d v="2025-02-25T00:00:00"/>
        <d v="2025-01-02T00:00:00"/>
        <d v="2025-05-16T00:00:00"/>
        <d v="2025-02-10T00:00:00"/>
        <d v="2025-03-16T00:00:00"/>
        <d v="2025-05-03T00:00:00"/>
        <d v="2025-03-13T00:00:00"/>
        <d v="2025-04-11T00:00:00"/>
        <d v="2025-08-08T00:00:00"/>
        <d v="2025-04-19T00:00:00"/>
        <d v="2025-09-22T00:00:00"/>
        <d v="2025-10-23T00:00:00"/>
        <d v="2025-09-02T00:00:00"/>
        <d v="2025-02-06T00:00:00"/>
        <d v="2025-09-04T00:00:00"/>
        <d v="2025-04-24T00:00:00"/>
        <d v="2025-05-24T00:00:00"/>
        <d v="2025-05-20T00:00:00"/>
        <d v="2025-10-02T00:00:00"/>
        <d v="2025-08-11T00:00:00"/>
        <d v="2025-03-03T00:00:00"/>
        <d v="2025-04-28T00:00:00"/>
        <d v="2025-02-05T00:00:00"/>
        <d v="2025-05-07T00:00:00"/>
        <d v="2025-08-10T00:00:00"/>
        <d v="2025-04-20T00:00:00"/>
        <d v="2025-02-17T00:00:00"/>
        <d v="2025-07-18T00:00:00"/>
        <d v="2025-03-04T00:00:00"/>
        <d v="2025-12-13T00:00:00"/>
        <d v="2025-06-12T00:00:00"/>
        <d v="2025-10-30T00:00:00"/>
        <d v="2025-03-25T00:00:00"/>
        <d v="2025-04-12T00:00:00"/>
        <d v="2025-11-23T00:00:00"/>
        <d v="2025-07-14T00:00:00"/>
        <d v="2025-02-19T00:00:00"/>
        <d v="2025-08-25T00:00:00"/>
        <d v="2025-09-18T00:00:00"/>
        <d v="2025-06-26T00:00:00"/>
        <d v="2025-08-18T00:00:00"/>
        <d v="2025-10-20T00:00:00"/>
        <d v="2025-10-27T00:00:00"/>
        <d v="2025-04-09T00:00:00"/>
        <d v="2025-02-24T00:00:00"/>
        <d v="2025-12-06T00:00:00"/>
        <d v="2025-05-08T00:00:00"/>
        <d v="2025-09-07T00:00:00"/>
      </sharedItems>
      <fieldGroup par="10" base="1">
        <rangePr groupBy="months" startDate="2025-01-01T00:00:00" endDate="2026-01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6"/>
        </groupItems>
      </fieldGroup>
    </cacheField>
    <cacheField name="customer name" numFmtId="0">
      <sharedItems count="15">
        <s v="Karthik Rao"/>
        <s v="Vikram Das"/>
        <s v="Pooja Menon"/>
        <s v="Priya Sharma"/>
        <s v="Meera Nair"/>
        <s v="Rahul Verma"/>
        <s v="Rohit Gupta"/>
        <s v="Aditya Roy"/>
        <s v="Sanjay Iyer"/>
        <s v="Aarav Kumar"/>
        <s v="Neha Joshi"/>
        <s v="Ananya Singh"/>
        <s v="Arjun Patel"/>
        <s v="Sneha Reddy"/>
        <s v="Isha Mehta"/>
      </sharedItems>
    </cacheField>
    <cacheField name="region" numFmtId="0">
      <sharedItems count="4">
        <s v="South"/>
        <s v="North"/>
        <s v="West"/>
        <s v="East"/>
      </sharedItems>
    </cacheField>
    <cacheField name="product category" numFmtId="0">
      <sharedItems count="6">
        <s v="Home Decor"/>
        <s v="Sport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1024.83" maxValue="74712.740000000005"/>
    </cacheField>
    <cacheField name="quantity" numFmtId="0">
      <sharedItems containsSemiMixedTypes="0" containsString="0" containsNumber="1" containsInteger="1" minValue="1" maxValue="20"/>
    </cacheField>
    <cacheField name="profit" numFmtId="0">
      <sharedItems containsSemiMixedTypes="0" containsString="0" containsNumber="1" minValue="86.18" maxValue="18176.66"/>
    </cacheField>
    <cacheField name="discount" numFmtId="0">
      <sharedItems containsSemiMixedTypes="0" containsString="0" containsNumber="1" minValue="0" maxValue="0.35"/>
    </cacheField>
    <cacheField name="Quarters" numFmtId="0" databaseField="0">
      <fieldGroup base="1">
        <rangePr groupBy="quarters" startDate="2025-01-01T00:00:00" endDate="2026-01-02T00:00:00"/>
        <groupItems count="6">
          <s v="&lt;01-01-2025"/>
          <s v="Qtr1"/>
          <s v="Qtr2"/>
          <s v="Qtr3"/>
          <s v="Qtr4"/>
          <s v="&gt;02-01-2026"/>
        </groupItems>
      </fieldGroup>
    </cacheField>
    <cacheField name="Years" numFmtId="0" databaseField="0">
      <fieldGroup base="1">
        <rangePr groupBy="years" startDate="2025-01-01T00:00:00" endDate="2026-01-02T00:00:00"/>
        <groupItems count="4">
          <s v="&lt;01-01-2025"/>
          <s v="2025"/>
          <s v="2026"/>
          <s v="&gt;02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x v="0"/>
    <n v="14231.37"/>
    <n v="8"/>
    <n v="1562.83"/>
    <n v="0.05"/>
  </r>
  <r>
    <x v="1"/>
    <x v="1"/>
    <x v="1"/>
    <x v="1"/>
    <x v="0"/>
    <n v="37206.35"/>
    <n v="14"/>
    <n v="6703.89"/>
    <n v="0.25"/>
  </r>
  <r>
    <x v="2"/>
    <x v="2"/>
    <x v="2"/>
    <x v="2"/>
    <x v="1"/>
    <n v="16731.72"/>
    <n v="15"/>
    <n v="3940.21"/>
    <n v="0.23"/>
  </r>
  <r>
    <x v="3"/>
    <x v="3"/>
    <x v="3"/>
    <x v="1"/>
    <x v="2"/>
    <n v="24412.03"/>
    <n v="2"/>
    <n v="2148.84"/>
    <n v="0.09"/>
  </r>
  <r>
    <x v="4"/>
    <x v="4"/>
    <x v="4"/>
    <x v="1"/>
    <x v="2"/>
    <n v="39380.47"/>
    <n v="7"/>
    <n v="10390.24"/>
    <n v="0.21"/>
  </r>
  <r>
    <x v="5"/>
    <x v="5"/>
    <x v="5"/>
    <x v="0"/>
    <x v="1"/>
    <n v="12900.08"/>
    <n v="15"/>
    <n v="3419.52"/>
    <n v="0.21"/>
  </r>
  <r>
    <x v="6"/>
    <x v="6"/>
    <x v="6"/>
    <x v="0"/>
    <x v="3"/>
    <n v="9124.64"/>
    <n v="6"/>
    <n v="2175.62"/>
    <n v="0.17"/>
  </r>
  <r>
    <x v="7"/>
    <x v="7"/>
    <x v="7"/>
    <x v="2"/>
    <x v="1"/>
    <n v="7365.4"/>
    <n v="10"/>
    <n v="1054.82"/>
    <n v="0.22"/>
  </r>
  <r>
    <x v="8"/>
    <x v="8"/>
    <x v="1"/>
    <x v="2"/>
    <x v="4"/>
    <n v="67597.789999999994"/>
    <n v="2"/>
    <n v="10517.85"/>
    <n v="0.22"/>
  </r>
  <r>
    <x v="9"/>
    <x v="9"/>
    <x v="0"/>
    <x v="0"/>
    <x v="5"/>
    <n v="70660.08"/>
    <n v="16"/>
    <n v="5524.59"/>
    <n v="0.32"/>
  </r>
  <r>
    <x v="10"/>
    <x v="10"/>
    <x v="8"/>
    <x v="0"/>
    <x v="0"/>
    <n v="70650.53"/>
    <n v="4"/>
    <n v="8777.09"/>
    <n v="0.03"/>
  </r>
  <r>
    <x v="11"/>
    <x v="11"/>
    <x v="5"/>
    <x v="2"/>
    <x v="4"/>
    <n v="69385.91"/>
    <n v="18"/>
    <n v="12720.29"/>
    <n v="0.11"/>
  </r>
  <r>
    <x v="12"/>
    <x v="12"/>
    <x v="2"/>
    <x v="3"/>
    <x v="3"/>
    <n v="64482.09"/>
    <n v="12"/>
    <n v="6704.71"/>
    <n v="7.0000000000000007E-2"/>
  </r>
  <r>
    <x v="13"/>
    <x v="13"/>
    <x v="9"/>
    <x v="1"/>
    <x v="5"/>
    <n v="17007.84"/>
    <n v="13"/>
    <n v="4157.9799999999996"/>
    <n v="0.12"/>
  </r>
  <r>
    <x v="14"/>
    <x v="14"/>
    <x v="0"/>
    <x v="3"/>
    <x v="0"/>
    <n v="7857.16"/>
    <n v="2"/>
    <n v="1542.61"/>
    <n v="0.32"/>
  </r>
  <r>
    <x v="15"/>
    <x v="15"/>
    <x v="8"/>
    <x v="2"/>
    <x v="4"/>
    <n v="24044.99"/>
    <n v="8"/>
    <n v="3068.89"/>
    <n v="0.23"/>
  </r>
  <r>
    <x v="16"/>
    <x v="16"/>
    <x v="10"/>
    <x v="3"/>
    <x v="4"/>
    <n v="57535.5"/>
    <n v="8"/>
    <n v="9673.16"/>
    <n v="0.13"/>
  </r>
  <r>
    <x v="17"/>
    <x v="7"/>
    <x v="7"/>
    <x v="2"/>
    <x v="2"/>
    <n v="72321.69"/>
    <n v="9"/>
    <n v="11253.69"/>
    <n v="0.02"/>
  </r>
  <r>
    <x v="18"/>
    <x v="17"/>
    <x v="2"/>
    <x v="3"/>
    <x v="2"/>
    <n v="40460.07"/>
    <n v="9"/>
    <n v="5489.48"/>
    <n v="0.15"/>
  </r>
  <r>
    <x v="19"/>
    <x v="18"/>
    <x v="2"/>
    <x v="0"/>
    <x v="5"/>
    <n v="29042.94"/>
    <n v="20"/>
    <n v="5190.92"/>
    <n v="0.3"/>
  </r>
  <r>
    <x v="20"/>
    <x v="19"/>
    <x v="11"/>
    <x v="0"/>
    <x v="2"/>
    <n v="25926.68"/>
    <n v="7"/>
    <n v="5584.92"/>
    <n v="0.12"/>
  </r>
  <r>
    <x v="21"/>
    <x v="20"/>
    <x v="12"/>
    <x v="0"/>
    <x v="1"/>
    <n v="50418.45"/>
    <n v="9"/>
    <n v="10794.75"/>
    <n v="0.23"/>
  </r>
  <r>
    <x v="22"/>
    <x v="21"/>
    <x v="13"/>
    <x v="2"/>
    <x v="5"/>
    <n v="49585.17"/>
    <n v="1"/>
    <n v="9934.3700000000008"/>
    <n v="0.04"/>
  </r>
  <r>
    <x v="23"/>
    <x v="22"/>
    <x v="1"/>
    <x v="3"/>
    <x v="1"/>
    <n v="73394.19"/>
    <n v="6"/>
    <n v="17185.87"/>
    <n v="0.18"/>
  </r>
  <r>
    <x v="24"/>
    <x v="23"/>
    <x v="12"/>
    <x v="2"/>
    <x v="2"/>
    <n v="42467.62"/>
    <n v="20"/>
    <n v="9580.9599999999991"/>
    <n v="0.27"/>
  </r>
  <r>
    <x v="25"/>
    <x v="24"/>
    <x v="8"/>
    <x v="3"/>
    <x v="4"/>
    <n v="55703.34"/>
    <n v="4"/>
    <n v="4072.71"/>
    <n v="0.28000000000000003"/>
  </r>
  <r>
    <x v="26"/>
    <x v="25"/>
    <x v="9"/>
    <x v="2"/>
    <x v="5"/>
    <n v="28322.76"/>
    <n v="18"/>
    <n v="5924.64"/>
    <n v="0.22"/>
  </r>
  <r>
    <x v="27"/>
    <x v="26"/>
    <x v="12"/>
    <x v="0"/>
    <x v="3"/>
    <n v="74394.75"/>
    <n v="13"/>
    <n v="8440.1299999999992"/>
    <n v="0.14000000000000001"/>
  </r>
  <r>
    <x v="28"/>
    <x v="27"/>
    <x v="4"/>
    <x v="0"/>
    <x v="4"/>
    <n v="67730.8"/>
    <n v="13"/>
    <n v="18176.66"/>
    <n v="0.15"/>
  </r>
  <r>
    <x v="29"/>
    <x v="28"/>
    <x v="4"/>
    <x v="3"/>
    <x v="4"/>
    <n v="21244.77"/>
    <n v="19"/>
    <n v="4141.67"/>
    <n v="0.3"/>
  </r>
  <r>
    <x v="30"/>
    <x v="29"/>
    <x v="2"/>
    <x v="2"/>
    <x v="0"/>
    <n v="67076.78"/>
    <n v="16"/>
    <n v="17546.419999999998"/>
    <n v="0.23"/>
  </r>
  <r>
    <x v="31"/>
    <x v="30"/>
    <x v="13"/>
    <x v="2"/>
    <x v="0"/>
    <n v="2140.56"/>
    <n v="11"/>
    <n v="155.04"/>
    <n v="0.28000000000000003"/>
  </r>
  <r>
    <x v="32"/>
    <x v="31"/>
    <x v="10"/>
    <x v="1"/>
    <x v="0"/>
    <n v="51366.59"/>
    <n v="9"/>
    <n v="9430.33"/>
    <n v="0.22"/>
  </r>
  <r>
    <x v="33"/>
    <x v="32"/>
    <x v="12"/>
    <x v="0"/>
    <x v="4"/>
    <n v="44522.58"/>
    <n v="2"/>
    <n v="3942.53"/>
    <n v="0.14000000000000001"/>
  </r>
  <r>
    <x v="34"/>
    <x v="33"/>
    <x v="13"/>
    <x v="3"/>
    <x v="4"/>
    <n v="62999.7"/>
    <n v="2"/>
    <n v="9295.19"/>
    <n v="0.24"/>
  </r>
  <r>
    <x v="35"/>
    <x v="34"/>
    <x v="3"/>
    <x v="2"/>
    <x v="4"/>
    <n v="21187.31"/>
    <n v="12"/>
    <n v="5948.58"/>
    <n v="0.02"/>
  </r>
  <r>
    <x v="36"/>
    <x v="35"/>
    <x v="5"/>
    <x v="3"/>
    <x v="1"/>
    <n v="72037.03"/>
    <n v="18"/>
    <n v="16645.95"/>
    <n v="0.03"/>
  </r>
  <r>
    <x v="37"/>
    <x v="36"/>
    <x v="2"/>
    <x v="0"/>
    <x v="4"/>
    <n v="41353.910000000003"/>
    <n v="2"/>
    <n v="7808.55"/>
    <n v="0.27"/>
  </r>
  <r>
    <x v="38"/>
    <x v="37"/>
    <x v="4"/>
    <x v="0"/>
    <x v="0"/>
    <n v="46011.61"/>
    <n v="20"/>
    <n v="11302.06"/>
    <n v="0.06"/>
  </r>
  <r>
    <x v="39"/>
    <x v="38"/>
    <x v="8"/>
    <x v="2"/>
    <x v="4"/>
    <n v="23752.44"/>
    <n v="4"/>
    <n v="5251.19"/>
    <n v="0.05"/>
  </r>
  <r>
    <x v="40"/>
    <x v="39"/>
    <x v="10"/>
    <x v="1"/>
    <x v="4"/>
    <n v="28885.93"/>
    <n v="4"/>
    <n v="7437.44"/>
    <n v="0.27"/>
  </r>
  <r>
    <x v="41"/>
    <x v="40"/>
    <x v="11"/>
    <x v="1"/>
    <x v="4"/>
    <n v="65782.039999999994"/>
    <n v="6"/>
    <n v="8822.9"/>
    <n v="0.27"/>
  </r>
  <r>
    <x v="42"/>
    <x v="41"/>
    <x v="14"/>
    <x v="1"/>
    <x v="0"/>
    <n v="30342.959999999999"/>
    <n v="10"/>
    <n v="2337.9"/>
    <n v="0.33"/>
  </r>
  <r>
    <x v="43"/>
    <x v="42"/>
    <x v="7"/>
    <x v="3"/>
    <x v="0"/>
    <n v="22884.16"/>
    <n v="4"/>
    <n v="5373.75"/>
    <n v="0.17"/>
  </r>
  <r>
    <x v="44"/>
    <x v="43"/>
    <x v="4"/>
    <x v="0"/>
    <x v="0"/>
    <n v="51582.98"/>
    <n v="11"/>
    <n v="11688.59"/>
    <n v="0.23"/>
  </r>
  <r>
    <x v="45"/>
    <x v="44"/>
    <x v="0"/>
    <x v="3"/>
    <x v="0"/>
    <n v="17771"/>
    <n v="5"/>
    <n v="1203.24"/>
    <n v="0.24"/>
  </r>
  <r>
    <x v="46"/>
    <x v="13"/>
    <x v="10"/>
    <x v="2"/>
    <x v="2"/>
    <n v="38908.15"/>
    <n v="8"/>
    <n v="6702.16"/>
    <n v="0.06"/>
  </r>
  <r>
    <x v="47"/>
    <x v="45"/>
    <x v="13"/>
    <x v="0"/>
    <x v="1"/>
    <n v="20225.7"/>
    <n v="19"/>
    <n v="1949.03"/>
    <n v="0.03"/>
  </r>
  <r>
    <x v="48"/>
    <x v="46"/>
    <x v="2"/>
    <x v="0"/>
    <x v="4"/>
    <n v="67642.210000000006"/>
    <n v="6"/>
    <n v="5360.94"/>
    <n v="0.22"/>
  </r>
  <r>
    <x v="49"/>
    <x v="47"/>
    <x v="5"/>
    <x v="2"/>
    <x v="4"/>
    <n v="1238.25"/>
    <n v="2"/>
    <n v="322.43"/>
    <n v="0.18"/>
  </r>
  <r>
    <x v="50"/>
    <x v="48"/>
    <x v="3"/>
    <x v="0"/>
    <x v="0"/>
    <n v="18265.41"/>
    <n v="14"/>
    <n v="5039.16"/>
    <n v="0.05"/>
  </r>
  <r>
    <x v="51"/>
    <x v="49"/>
    <x v="4"/>
    <x v="0"/>
    <x v="4"/>
    <n v="55288.959999999999"/>
    <n v="16"/>
    <n v="14399.85"/>
    <n v="7.0000000000000007E-2"/>
  </r>
  <r>
    <x v="52"/>
    <x v="50"/>
    <x v="14"/>
    <x v="0"/>
    <x v="4"/>
    <n v="10961.42"/>
    <n v="8"/>
    <n v="2502.4899999999998"/>
    <n v="0.06"/>
  </r>
  <r>
    <x v="53"/>
    <x v="37"/>
    <x v="6"/>
    <x v="1"/>
    <x v="4"/>
    <n v="18797.36"/>
    <n v="8"/>
    <n v="2785.76"/>
    <n v="0.24"/>
  </r>
  <r>
    <x v="54"/>
    <x v="51"/>
    <x v="1"/>
    <x v="1"/>
    <x v="4"/>
    <n v="19536.810000000001"/>
    <n v="19"/>
    <n v="2340.86"/>
    <n v="0.12"/>
  </r>
  <r>
    <x v="55"/>
    <x v="52"/>
    <x v="9"/>
    <x v="1"/>
    <x v="2"/>
    <n v="5599.35"/>
    <n v="7"/>
    <n v="1033.69"/>
    <n v="0.32"/>
  </r>
  <r>
    <x v="56"/>
    <x v="29"/>
    <x v="12"/>
    <x v="3"/>
    <x v="3"/>
    <n v="43716.81"/>
    <n v="10"/>
    <n v="7099.96"/>
    <n v="7.0000000000000007E-2"/>
  </r>
  <r>
    <x v="57"/>
    <x v="53"/>
    <x v="4"/>
    <x v="2"/>
    <x v="4"/>
    <n v="52547.96"/>
    <n v="17"/>
    <n v="9299.8700000000008"/>
    <n v="0.09"/>
  </r>
  <r>
    <x v="58"/>
    <x v="54"/>
    <x v="4"/>
    <x v="0"/>
    <x v="4"/>
    <n v="46011.73"/>
    <n v="13"/>
    <n v="13194.9"/>
    <n v="0.01"/>
  </r>
  <r>
    <x v="59"/>
    <x v="55"/>
    <x v="13"/>
    <x v="0"/>
    <x v="3"/>
    <n v="2593.6999999999998"/>
    <n v="6"/>
    <n v="410.35"/>
    <n v="7.0000000000000007E-2"/>
  </r>
  <r>
    <x v="60"/>
    <x v="56"/>
    <x v="8"/>
    <x v="1"/>
    <x v="1"/>
    <n v="1054.96"/>
    <n v="4"/>
    <n v="86.18"/>
    <n v="0.23"/>
  </r>
  <r>
    <x v="61"/>
    <x v="57"/>
    <x v="11"/>
    <x v="2"/>
    <x v="0"/>
    <n v="65829.97"/>
    <n v="18"/>
    <n v="6883.49"/>
    <n v="0.32"/>
  </r>
  <r>
    <x v="62"/>
    <x v="58"/>
    <x v="4"/>
    <x v="1"/>
    <x v="5"/>
    <n v="40306.49"/>
    <n v="3"/>
    <n v="3806.59"/>
    <n v="0.33"/>
  </r>
  <r>
    <x v="63"/>
    <x v="59"/>
    <x v="14"/>
    <x v="1"/>
    <x v="5"/>
    <n v="65846.33"/>
    <n v="20"/>
    <n v="7212.08"/>
    <n v="0.22"/>
  </r>
  <r>
    <x v="64"/>
    <x v="60"/>
    <x v="11"/>
    <x v="1"/>
    <x v="0"/>
    <n v="56034.14"/>
    <n v="3"/>
    <n v="4700.7"/>
    <n v="0.27"/>
  </r>
  <r>
    <x v="65"/>
    <x v="61"/>
    <x v="12"/>
    <x v="2"/>
    <x v="1"/>
    <n v="33675.480000000003"/>
    <n v="11"/>
    <n v="4042.28"/>
    <n v="0.18"/>
  </r>
  <r>
    <x v="66"/>
    <x v="20"/>
    <x v="1"/>
    <x v="1"/>
    <x v="5"/>
    <n v="30479.84"/>
    <n v="7"/>
    <n v="8597.0400000000009"/>
    <n v="0.02"/>
  </r>
  <r>
    <x v="67"/>
    <x v="62"/>
    <x v="10"/>
    <x v="2"/>
    <x v="5"/>
    <n v="74712.740000000005"/>
    <n v="3"/>
    <n v="5492.2"/>
    <n v="0.24"/>
  </r>
  <r>
    <x v="68"/>
    <x v="63"/>
    <x v="6"/>
    <x v="0"/>
    <x v="2"/>
    <n v="15235.57"/>
    <n v="19"/>
    <n v="1126.19"/>
    <n v="0.2"/>
  </r>
  <r>
    <x v="69"/>
    <x v="64"/>
    <x v="13"/>
    <x v="0"/>
    <x v="1"/>
    <n v="48372.21"/>
    <n v="4"/>
    <n v="8994.48"/>
    <n v="0"/>
  </r>
  <r>
    <x v="70"/>
    <x v="65"/>
    <x v="5"/>
    <x v="0"/>
    <x v="1"/>
    <n v="22226.25"/>
    <n v="6"/>
    <n v="1854.48"/>
    <n v="0.25"/>
  </r>
  <r>
    <x v="71"/>
    <x v="29"/>
    <x v="8"/>
    <x v="2"/>
    <x v="2"/>
    <n v="47753.96"/>
    <n v="3"/>
    <n v="9158.1299999999992"/>
    <n v="0.09"/>
  </r>
  <r>
    <x v="72"/>
    <x v="66"/>
    <x v="2"/>
    <x v="0"/>
    <x v="5"/>
    <n v="54843.14"/>
    <n v="2"/>
    <n v="12431.89"/>
    <n v="0.26"/>
  </r>
  <r>
    <x v="73"/>
    <x v="66"/>
    <x v="11"/>
    <x v="2"/>
    <x v="4"/>
    <n v="66743.37"/>
    <n v="20"/>
    <n v="16265.9"/>
    <n v="0.17"/>
  </r>
  <r>
    <x v="74"/>
    <x v="67"/>
    <x v="12"/>
    <x v="2"/>
    <x v="5"/>
    <n v="38007.74"/>
    <n v="6"/>
    <n v="4021.35"/>
    <n v="0.16"/>
  </r>
  <r>
    <x v="75"/>
    <x v="68"/>
    <x v="1"/>
    <x v="0"/>
    <x v="0"/>
    <n v="18016.560000000001"/>
    <n v="12"/>
    <n v="1488.43"/>
    <n v="0.21"/>
  </r>
  <r>
    <x v="76"/>
    <x v="69"/>
    <x v="0"/>
    <x v="0"/>
    <x v="0"/>
    <n v="1024.83"/>
    <n v="13"/>
    <n v="88.62"/>
    <n v="0.2"/>
  </r>
  <r>
    <x v="77"/>
    <x v="70"/>
    <x v="3"/>
    <x v="2"/>
    <x v="2"/>
    <n v="8892.68"/>
    <n v="1"/>
    <n v="2455.66"/>
    <n v="7.0000000000000007E-2"/>
  </r>
  <r>
    <x v="78"/>
    <x v="71"/>
    <x v="12"/>
    <x v="0"/>
    <x v="3"/>
    <n v="11848.34"/>
    <n v="9"/>
    <n v="1151.03"/>
    <n v="0.25"/>
  </r>
  <r>
    <x v="79"/>
    <x v="69"/>
    <x v="6"/>
    <x v="0"/>
    <x v="3"/>
    <n v="46614.93"/>
    <n v="11"/>
    <n v="12399.72"/>
    <n v="0.01"/>
  </r>
  <r>
    <x v="80"/>
    <x v="72"/>
    <x v="0"/>
    <x v="3"/>
    <x v="0"/>
    <n v="4168.68"/>
    <n v="9"/>
    <n v="824.6"/>
    <n v="0.17"/>
  </r>
  <r>
    <x v="81"/>
    <x v="73"/>
    <x v="4"/>
    <x v="0"/>
    <x v="3"/>
    <n v="53026.7"/>
    <n v="18"/>
    <n v="12370.42"/>
    <n v="0.33"/>
  </r>
  <r>
    <x v="82"/>
    <x v="74"/>
    <x v="8"/>
    <x v="2"/>
    <x v="1"/>
    <n v="36239.160000000003"/>
    <n v="6"/>
    <n v="6522.2"/>
    <n v="0.21"/>
  </r>
  <r>
    <x v="83"/>
    <x v="75"/>
    <x v="2"/>
    <x v="3"/>
    <x v="3"/>
    <n v="2214.7399999999998"/>
    <n v="19"/>
    <n v="238.44"/>
    <n v="0.12"/>
  </r>
  <r>
    <x v="84"/>
    <x v="76"/>
    <x v="3"/>
    <x v="3"/>
    <x v="1"/>
    <n v="42296.87"/>
    <n v="12"/>
    <n v="6631.34"/>
    <n v="0.06"/>
  </r>
  <r>
    <x v="85"/>
    <x v="16"/>
    <x v="3"/>
    <x v="3"/>
    <x v="3"/>
    <n v="50428.75"/>
    <n v="11"/>
    <n v="10319.86"/>
    <n v="0.15"/>
  </r>
  <r>
    <x v="86"/>
    <x v="43"/>
    <x v="5"/>
    <x v="1"/>
    <x v="2"/>
    <n v="29934.54"/>
    <n v="18"/>
    <n v="4371.2"/>
    <n v="0.19"/>
  </r>
  <r>
    <x v="87"/>
    <x v="77"/>
    <x v="2"/>
    <x v="2"/>
    <x v="5"/>
    <n v="8776.57"/>
    <n v="7"/>
    <n v="1047.47"/>
    <n v="0.34"/>
  </r>
  <r>
    <x v="88"/>
    <x v="78"/>
    <x v="12"/>
    <x v="1"/>
    <x v="3"/>
    <n v="28211.79"/>
    <n v="11"/>
    <n v="5281.84"/>
    <n v="0.21"/>
  </r>
  <r>
    <x v="89"/>
    <x v="79"/>
    <x v="6"/>
    <x v="3"/>
    <x v="5"/>
    <n v="31179.08"/>
    <n v="5"/>
    <n v="8413.92"/>
    <n v="0.05"/>
  </r>
  <r>
    <x v="90"/>
    <x v="80"/>
    <x v="12"/>
    <x v="1"/>
    <x v="0"/>
    <n v="38580.879999999997"/>
    <n v="9"/>
    <n v="6742.42"/>
    <n v="0.05"/>
  </r>
  <r>
    <x v="91"/>
    <x v="81"/>
    <x v="5"/>
    <x v="3"/>
    <x v="5"/>
    <n v="33131.730000000003"/>
    <n v="13"/>
    <n v="9555.82"/>
    <n v="0.03"/>
  </r>
  <r>
    <x v="92"/>
    <x v="82"/>
    <x v="7"/>
    <x v="2"/>
    <x v="4"/>
    <n v="36381.1"/>
    <n v="3"/>
    <n v="4904.33"/>
    <n v="0.17"/>
  </r>
  <r>
    <x v="93"/>
    <x v="83"/>
    <x v="9"/>
    <x v="0"/>
    <x v="2"/>
    <n v="61029.919999999998"/>
    <n v="3"/>
    <n v="10027.48"/>
    <n v="0.32"/>
  </r>
  <r>
    <x v="94"/>
    <x v="80"/>
    <x v="6"/>
    <x v="3"/>
    <x v="1"/>
    <n v="40634.589999999997"/>
    <n v="2"/>
    <n v="10672.36"/>
    <n v="0.02"/>
  </r>
  <r>
    <x v="95"/>
    <x v="84"/>
    <x v="11"/>
    <x v="0"/>
    <x v="1"/>
    <n v="39824.879999999997"/>
    <n v="15"/>
    <n v="8687.67"/>
    <n v="0.17"/>
  </r>
  <r>
    <x v="96"/>
    <x v="85"/>
    <x v="10"/>
    <x v="1"/>
    <x v="0"/>
    <n v="17292.53"/>
    <n v="14"/>
    <n v="2007.96"/>
    <n v="0.06"/>
  </r>
  <r>
    <x v="97"/>
    <x v="86"/>
    <x v="11"/>
    <x v="3"/>
    <x v="0"/>
    <n v="2542.13"/>
    <n v="2"/>
    <n v="530.14"/>
    <n v="0.11"/>
  </r>
  <r>
    <x v="98"/>
    <x v="87"/>
    <x v="13"/>
    <x v="2"/>
    <x v="5"/>
    <n v="70427.75"/>
    <n v="16"/>
    <n v="8194.0499999999993"/>
    <n v="0.27"/>
  </r>
  <r>
    <x v="99"/>
    <x v="88"/>
    <x v="10"/>
    <x v="0"/>
    <x v="1"/>
    <n v="69145.31"/>
    <n v="11"/>
    <n v="9996.9599999999991"/>
    <n v="0.2"/>
  </r>
  <r>
    <x v="100"/>
    <x v="89"/>
    <x v="6"/>
    <x v="2"/>
    <x v="1"/>
    <n v="20531.75"/>
    <n v="17"/>
    <n v="5228.76"/>
    <n v="0.09"/>
  </r>
  <r>
    <x v="101"/>
    <x v="90"/>
    <x v="10"/>
    <x v="2"/>
    <x v="1"/>
    <n v="74231.600000000006"/>
    <n v="20"/>
    <n v="6199.99"/>
    <n v="0.11"/>
  </r>
  <r>
    <x v="102"/>
    <x v="91"/>
    <x v="8"/>
    <x v="1"/>
    <x v="1"/>
    <n v="19507.63"/>
    <n v="6"/>
    <n v="4436.3100000000004"/>
    <n v="0.32"/>
  </r>
  <r>
    <x v="103"/>
    <x v="58"/>
    <x v="2"/>
    <x v="1"/>
    <x v="4"/>
    <n v="40113.99"/>
    <n v="8"/>
    <n v="5991.96"/>
    <n v="0.1"/>
  </r>
  <r>
    <x v="104"/>
    <x v="5"/>
    <x v="0"/>
    <x v="0"/>
    <x v="5"/>
    <n v="28715.91"/>
    <n v="6"/>
    <n v="6012.79"/>
    <n v="0"/>
  </r>
  <r>
    <x v="105"/>
    <x v="92"/>
    <x v="12"/>
    <x v="2"/>
    <x v="1"/>
    <n v="24570.25"/>
    <n v="6"/>
    <n v="2744.86"/>
    <n v="0.11"/>
  </r>
  <r>
    <x v="106"/>
    <x v="93"/>
    <x v="9"/>
    <x v="2"/>
    <x v="0"/>
    <n v="50439.64"/>
    <n v="5"/>
    <n v="7637.48"/>
    <n v="0.28000000000000003"/>
  </r>
  <r>
    <x v="107"/>
    <x v="67"/>
    <x v="3"/>
    <x v="2"/>
    <x v="5"/>
    <n v="58212.98"/>
    <n v="18"/>
    <n v="16240"/>
    <n v="0.11"/>
  </r>
  <r>
    <x v="108"/>
    <x v="94"/>
    <x v="3"/>
    <x v="1"/>
    <x v="4"/>
    <n v="73096.12"/>
    <n v="8"/>
    <n v="9892.64"/>
    <n v="0.28000000000000003"/>
  </r>
  <r>
    <x v="109"/>
    <x v="95"/>
    <x v="10"/>
    <x v="2"/>
    <x v="4"/>
    <n v="26243.46"/>
    <n v="6"/>
    <n v="2842.18"/>
    <n v="0.02"/>
  </r>
  <r>
    <x v="110"/>
    <x v="96"/>
    <x v="11"/>
    <x v="2"/>
    <x v="4"/>
    <n v="54952.24"/>
    <n v="9"/>
    <n v="9816.08"/>
    <n v="0.15"/>
  </r>
  <r>
    <x v="111"/>
    <x v="97"/>
    <x v="6"/>
    <x v="2"/>
    <x v="0"/>
    <n v="65543.19"/>
    <n v="14"/>
    <n v="15130.23"/>
    <n v="0.11"/>
  </r>
  <r>
    <x v="112"/>
    <x v="98"/>
    <x v="14"/>
    <x v="0"/>
    <x v="2"/>
    <n v="43084.54"/>
    <n v="5"/>
    <n v="10718.89"/>
    <n v="0.33"/>
  </r>
  <r>
    <x v="113"/>
    <x v="92"/>
    <x v="5"/>
    <x v="2"/>
    <x v="1"/>
    <n v="39382.53"/>
    <n v="20"/>
    <n v="6917.56"/>
    <n v="0.21"/>
  </r>
  <r>
    <x v="114"/>
    <x v="99"/>
    <x v="11"/>
    <x v="1"/>
    <x v="2"/>
    <n v="3476.1"/>
    <n v="15"/>
    <n v="551.27"/>
    <n v="7.0000000000000007E-2"/>
  </r>
  <r>
    <x v="115"/>
    <x v="42"/>
    <x v="0"/>
    <x v="2"/>
    <x v="5"/>
    <n v="62298.12"/>
    <n v="7"/>
    <n v="15616.84"/>
    <n v="0.04"/>
  </r>
  <r>
    <x v="116"/>
    <x v="100"/>
    <x v="0"/>
    <x v="1"/>
    <x v="3"/>
    <n v="10348.6"/>
    <n v="7"/>
    <n v="1414.03"/>
    <n v="0.05"/>
  </r>
  <r>
    <x v="117"/>
    <x v="101"/>
    <x v="9"/>
    <x v="3"/>
    <x v="1"/>
    <n v="73212.78"/>
    <n v="2"/>
    <n v="4926.8999999999996"/>
    <n v="0.27"/>
  </r>
  <r>
    <x v="118"/>
    <x v="102"/>
    <x v="14"/>
    <x v="0"/>
    <x v="4"/>
    <n v="39262.910000000003"/>
    <n v="1"/>
    <n v="5648.71"/>
    <n v="0.06"/>
  </r>
  <r>
    <x v="119"/>
    <x v="103"/>
    <x v="2"/>
    <x v="3"/>
    <x v="5"/>
    <n v="68669.61"/>
    <n v="11"/>
    <n v="6178.77"/>
    <n v="0.09"/>
  </r>
  <r>
    <x v="120"/>
    <x v="104"/>
    <x v="3"/>
    <x v="0"/>
    <x v="0"/>
    <n v="71674.11"/>
    <n v="7"/>
    <n v="9890.09"/>
    <n v="0.28000000000000003"/>
  </r>
  <r>
    <x v="121"/>
    <x v="105"/>
    <x v="8"/>
    <x v="3"/>
    <x v="5"/>
    <n v="14777.77"/>
    <n v="16"/>
    <n v="2103.17"/>
    <n v="0.12"/>
  </r>
  <r>
    <x v="122"/>
    <x v="106"/>
    <x v="11"/>
    <x v="2"/>
    <x v="3"/>
    <n v="35744.99"/>
    <n v="9"/>
    <n v="3200.47"/>
    <n v="0.19"/>
  </r>
  <r>
    <x v="123"/>
    <x v="107"/>
    <x v="7"/>
    <x v="1"/>
    <x v="2"/>
    <n v="53668.33"/>
    <n v="12"/>
    <n v="13377.7"/>
    <n v="0.24"/>
  </r>
  <r>
    <x v="124"/>
    <x v="108"/>
    <x v="5"/>
    <x v="3"/>
    <x v="5"/>
    <n v="28038.38"/>
    <n v="11"/>
    <n v="7175.3"/>
    <n v="0.24"/>
  </r>
  <r>
    <x v="125"/>
    <x v="109"/>
    <x v="0"/>
    <x v="0"/>
    <x v="0"/>
    <n v="62262.69"/>
    <n v="10"/>
    <n v="15489.42"/>
    <n v="0.28999999999999998"/>
  </r>
  <r>
    <x v="126"/>
    <x v="110"/>
    <x v="3"/>
    <x v="2"/>
    <x v="3"/>
    <n v="59386.59"/>
    <n v="7"/>
    <n v="10199.81"/>
    <n v="0.04"/>
  </r>
  <r>
    <x v="127"/>
    <x v="64"/>
    <x v="13"/>
    <x v="0"/>
    <x v="3"/>
    <n v="62993.24"/>
    <n v="18"/>
    <n v="12531.95"/>
    <n v="0.09"/>
  </r>
  <r>
    <x v="128"/>
    <x v="37"/>
    <x v="2"/>
    <x v="1"/>
    <x v="5"/>
    <n v="24264.2"/>
    <n v="13"/>
    <n v="5666.53"/>
    <n v="0.09"/>
  </r>
  <r>
    <x v="129"/>
    <x v="28"/>
    <x v="5"/>
    <x v="1"/>
    <x v="1"/>
    <n v="5573.07"/>
    <n v="2"/>
    <n v="859.41"/>
    <n v="0.11"/>
  </r>
  <r>
    <x v="130"/>
    <x v="111"/>
    <x v="9"/>
    <x v="0"/>
    <x v="5"/>
    <n v="49168.58"/>
    <n v="19"/>
    <n v="7350.9"/>
    <n v="0.09"/>
  </r>
  <r>
    <x v="131"/>
    <x v="112"/>
    <x v="9"/>
    <x v="0"/>
    <x v="5"/>
    <n v="32938.07"/>
    <n v="4"/>
    <n v="2413.8000000000002"/>
    <n v="0.28999999999999998"/>
  </r>
  <r>
    <x v="132"/>
    <x v="35"/>
    <x v="5"/>
    <x v="1"/>
    <x v="1"/>
    <n v="44785.05"/>
    <n v="7"/>
    <n v="7183.23"/>
    <n v="0.11"/>
  </r>
  <r>
    <x v="133"/>
    <x v="113"/>
    <x v="14"/>
    <x v="0"/>
    <x v="4"/>
    <n v="69798.7"/>
    <n v="17"/>
    <n v="11116.58"/>
    <n v="0.16"/>
  </r>
  <r>
    <x v="134"/>
    <x v="114"/>
    <x v="11"/>
    <x v="0"/>
    <x v="5"/>
    <n v="39374.99"/>
    <n v="7"/>
    <n v="9757.7800000000007"/>
    <n v="0.31"/>
  </r>
  <r>
    <x v="135"/>
    <x v="23"/>
    <x v="3"/>
    <x v="1"/>
    <x v="4"/>
    <n v="3316.89"/>
    <n v="7"/>
    <n v="844.75"/>
    <n v="0.1"/>
  </r>
  <r>
    <x v="136"/>
    <x v="84"/>
    <x v="3"/>
    <x v="1"/>
    <x v="4"/>
    <n v="2162.41"/>
    <n v="3"/>
    <n v="233.05"/>
    <n v="0.04"/>
  </r>
  <r>
    <x v="137"/>
    <x v="61"/>
    <x v="10"/>
    <x v="3"/>
    <x v="5"/>
    <n v="58664.12"/>
    <n v="6"/>
    <n v="11492.62"/>
    <n v="0.16"/>
  </r>
  <r>
    <x v="138"/>
    <x v="115"/>
    <x v="5"/>
    <x v="2"/>
    <x v="4"/>
    <n v="38930.74"/>
    <n v="11"/>
    <n v="4784.38"/>
    <n v="0.32"/>
  </r>
  <r>
    <x v="139"/>
    <x v="16"/>
    <x v="12"/>
    <x v="3"/>
    <x v="0"/>
    <n v="4160.53"/>
    <n v="7"/>
    <n v="303.33"/>
    <n v="0.24"/>
  </r>
  <r>
    <x v="140"/>
    <x v="81"/>
    <x v="4"/>
    <x v="0"/>
    <x v="0"/>
    <n v="35571.08"/>
    <n v="9"/>
    <n v="4918.22"/>
    <n v="0.3"/>
  </r>
  <r>
    <x v="141"/>
    <x v="116"/>
    <x v="3"/>
    <x v="1"/>
    <x v="4"/>
    <n v="36555.51"/>
    <n v="4"/>
    <n v="3456.02"/>
    <n v="0.28000000000000003"/>
  </r>
  <r>
    <x v="142"/>
    <x v="80"/>
    <x v="5"/>
    <x v="2"/>
    <x v="3"/>
    <n v="44509.8"/>
    <n v="9"/>
    <n v="6406.14"/>
    <n v="0.03"/>
  </r>
  <r>
    <x v="143"/>
    <x v="117"/>
    <x v="8"/>
    <x v="1"/>
    <x v="1"/>
    <n v="46660.27"/>
    <n v="20"/>
    <n v="6074.06"/>
    <n v="0.16"/>
  </r>
  <r>
    <x v="144"/>
    <x v="118"/>
    <x v="12"/>
    <x v="2"/>
    <x v="4"/>
    <n v="42412.53"/>
    <n v="15"/>
    <n v="10953.7"/>
    <n v="0.19"/>
  </r>
  <r>
    <x v="145"/>
    <x v="119"/>
    <x v="8"/>
    <x v="0"/>
    <x v="0"/>
    <n v="45983.88"/>
    <n v="4"/>
    <n v="3088.69"/>
    <n v="0.31"/>
  </r>
  <r>
    <x v="146"/>
    <x v="77"/>
    <x v="3"/>
    <x v="0"/>
    <x v="0"/>
    <n v="18427.29"/>
    <n v="17"/>
    <n v="3890.25"/>
    <n v="0.04"/>
  </r>
  <r>
    <x v="147"/>
    <x v="18"/>
    <x v="12"/>
    <x v="1"/>
    <x v="5"/>
    <n v="29501.56"/>
    <n v="12"/>
    <n v="5108.9799999999996"/>
    <n v="0.31"/>
  </r>
  <r>
    <x v="148"/>
    <x v="120"/>
    <x v="14"/>
    <x v="0"/>
    <x v="0"/>
    <n v="56255.28"/>
    <n v="12"/>
    <n v="6942.47"/>
    <n v="0.05"/>
  </r>
  <r>
    <x v="149"/>
    <x v="121"/>
    <x v="4"/>
    <x v="2"/>
    <x v="4"/>
    <n v="26409.49"/>
    <n v="8"/>
    <n v="3833.05"/>
    <n v="7.0000000000000007E-2"/>
  </r>
  <r>
    <x v="150"/>
    <x v="122"/>
    <x v="14"/>
    <x v="1"/>
    <x v="1"/>
    <n v="60677.96"/>
    <n v="19"/>
    <n v="9080.11"/>
    <n v="0.04"/>
  </r>
  <r>
    <x v="151"/>
    <x v="56"/>
    <x v="11"/>
    <x v="0"/>
    <x v="4"/>
    <n v="69465.72"/>
    <n v="10"/>
    <n v="11486.47"/>
    <n v="0.26"/>
  </r>
  <r>
    <x v="152"/>
    <x v="123"/>
    <x v="9"/>
    <x v="3"/>
    <x v="3"/>
    <n v="58031.01"/>
    <n v="13"/>
    <n v="10756.87"/>
    <n v="0.26"/>
  </r>
  <r>
    <x v="153"/>
    <x v="124"/>
    <x v="1"/>
    <x v="1"/>
    <x v="4"/>
    <n v="29795.439999999999"/>
    <n v="17"/>
    <n v="5248.2"/>
    <n v="0.3"/>
  </r>
  <r>
    <x v="154"/>
    <x v="125"/>
    <x v="4"/>
    <x v="0"/>
    <x v="4"/>
    <n v="62244.56"/>
    <n v="17"/>
    <n v="7153.49"/>
    <n v="0.04"/>
  </r>
  <r>
    <x v="155"/>
    <x v="126"/>
    <x v="12"/>
    <x v="2"/>
    <x v="0"/>
    <n v="65920.06"/>
    <n v="16"/>
    <n v="11204.9"/>
    <n v="0.35"/>
  </r>
  <r>
    <x v="156"/>
    <x v="62"/>
    <x v="14"/>
    <x v="3"/>
    <x v="4"/>
    <n v="26511.64"/>
    <n v="4"/>
    <n v="1828.09"/>
    <n v="0.24"/>
  </r>
  <r>
    <x v="157"/>
    <x v="127"/>
    <x v="8"/>
    <x v="0"/>
    <x v="1"/>
    <n v="19058.2"/>
    <n v="10"/>
    <n v="1815.25"/>
    <n v="0.31"/>
  </r>
  <r>
    <x v="158"/>
    <x v="128"/>
    <x v="14"/>
    <x v="2"/>
    <x v="3"/>
    <n v="23866.65"/>
    <n v="13"/>
    <n v="3554.93"/>
    <n v="0.28999999999999998"/>
  </r>
  <r>
    <x v="159"/>
    <x v="47"/>
    <x v="7"/>
    <x v="1"/>
    <x v="4"/>
    <n v="16271.5"/>
    <n v="3"/>
    <n v="2153.16"/>
    <n v="0.03"/>
  </r>
  <r>
    <x v="160"/>
    <x v="50"/>
    <x v="10"/>
    <x v="0"/>
    <x v="4"/>
    <n v="43109.82"/>
    <n v="10"/>
    <n v="3219.54"/>
    <n v="0.28000000000000003"/>
  </r>
  <r>
    <x v="161"/>
    <x v="129"/>
    <x v="2"/>
    <x v="3"/>
    <x v="2"/>
    <n v="11674.04"/>
    <n v="17"/>
    <n v="750.74"/>
    <n v="0.33"/>
  </r>
  <r>
    <x v="162"/>
    <x v="130"/>
    <x v="1"/>
    <x v="3"/>
    <x v="2"/>
    <n v="15741.62"/>
    <n v="18"/>
    <n v="1952.68"/>
    <n v="0.28000000000000003"/>
  </r>
  <r>
    <x v="163"/>
    <x v="131"/>
    <x v="7"/>
    <x v="3"/>
    <x v="1"/>
    <n v="13640.54"/>
    <n v="5"/>
    <n v="1218.76"/>
    <n v="0.26"/>
  </r>
  <r>
    <x v="164"/>
    <x v="92"/>
    <x v="11"/>
    <x v="3"/>
    <x v="5"/>
    <n v="52383.01"/>
    <n v="12"/>
    <n v="10396.299999999999"/>
    <n v="0.03"/>
  </r>
  <r>
    <x v="165"/>
    <x v="132"/>
    <x v="11"/>
    <x v="1"/>
    <x v="2"/>
    <n v="51171.55"/>
    <n v="14"/>
    <n v="10561.63"/>
    <n v="0.19"/>
  </r>
  <r>
    <x v="166"/>
    <x v="133"/>
    <x v="11"/>
    <x v="2"/>
    <x v="2"/>
    <n v="2367.0500000000002"/>
    <n v="8"/>
    <n v="478.28"/>
    <n v="0.03"/>
  </r>
  <r>
    <x v="167"/>
    <x v="134"/>
    <x v="5"/>
    <x v="0"/>
    <x v="1"/>
    <n v="17602.03"/>
    <n v="13"/>
    <n v="4345.8599999999997"/>
    <n v="0.23"/>
  </r>
  <r>
    <x v="168"/>
    <x v="18"/>
    <x v="4"/>
    <x v="1"/>
    <x v="0"/>
    <n v="57813.35"/>
    <n v="16"/>
    <n v="7983.13"/>
    <n v="0.01"/>
  </r>
  <r>
    <x v="169"/>
    <x v="69"/>
    <x v="0"/>
    <x v="0"/>
    <x v="3"/>
    <n v="67299.81"/>
    <n v="18"/>
    <n v="9247.8799999999992"/>
    <n v="0.11"/>
  </r>
  <r>
    <x v="170"/>
    <x v="135"/>
    <x v="13"/>
    <x v="2"/>
    <x v="5"/>
    <n v="35027.68"/>
    <n v="20"/>
    <n v="8508.5400000000009"/>
    <n v="0.28000000000000003"/>
  </r>
  <r>
    <x v="171"/>
    <x v="136"/>
    <x v="10"/>
    <x v="0"/>
    <x v="3"/>
    <n v="6458.4"/>
    <n v="19"/>
    <n v="1146.93"/>
    <n v="0.18"/>
  </r>
  <r>
    <x v="172"/>
    <x v="137"/>
    <x v="1"/>
    <x v="3"/>
    <x v="2"/>
    <n v="3675.39"/>
    <n v="2"/>
    <n v="388.99"/>
    <n v="0.17"/>
  </r>
  <r>
    <x v="173"/>
    <x v="13"/>
    <x v="7"/>
    <x v="2"/>
    <x v="5"/>
    <n v="3699.72"/>
    <n v="9"/>
    <n v="680.23"/>
    <n v="0.2"/>
  </r>
  <r>
    <x v="174"/>
    <x v="138"/>
    <x v="10"/>
    <x v="2"/>
    <x v="3"/>
    <n v="15925.77"/>
    <n v="3"/>
    <n v="1675.69"/>
    <n v="0.17"/>
  </r>
  <r>
    <x v="175"/>
    <x v="139"/>
    <x v="10"/>
    <x v="2"/>
    <x v="5"/>
    <n v="9678.48"/>
    <n v="17"/>
    <n v="2843.66"/>
    <n v="0.04"/>
  </r>
  <r>
    <x v="176"/>
    <x v="10"/>
    <x v="7"/>
    <x v="0"/>
    <x v="3"/>
    <n v="56597.34"/>
    <n v="5"/>
    <n v="13694.69"/>
    <n v="0.14000000000000001"/>
  </r>
  <r>
    <x v="177"/>
    <x v="47"/>
    <x v="7"/>
    <x v="0"/>
    <x v="1"/>
    <n v="11568.89"/>
    <n v="9"/>
    <n v="2068.9499999999998"/>
    <n v="0.1"/>
  </r>
  <r>
    <x v="178"/>
    <x v="140"/>
    <x v="0"/>
    <x v="2"/>
    <x v="0"/>
    <n v="64624.41"/>
    <n v="10"/>
    <n v="12629.39"/>
    <n v="0.03"/>
  </r>
  <r>
    <x v="179"/>
    <x v="141"/>
    <x v="7"/>
    <x v="1"/>
    <x v="1"/>
    <n v="28379.78"/>
    <n v="5"/>
    <n v="2369.91"/>
    <n v="0.11"/>
  </r>
  <r>
    <x v="180"/>
    <x v="16"/>
    <x v="5"/>
    <x v="2"/>
    <x v="0"/>
    <n v="1623.39"/>
    <n v="17"/>
    <n v="399.95"/>
    <n v="0.15"/>
  </r>
  <r>
    <x v="181"/>
    <x v="142"/>
    <x v="10"/>
    <x v="3"/>
    <x v="4"/>
    <n v="57810.54"/>
    <n v="3"/>
    <n v="12955.01"/>
    <n v="0.12"/>
  </r>
  <r>
    <x v="182"/>
    <x v="93"/>
    <x v="7"/>
    <x v="0"/>
    <x v="3"/>
    <n v="60902.15"/>
    <n v="18"/>
    <n v="5440.39"/>
    <n v="0.12"/>
  </r>
  <r>
    <x v="183"/>
    <x v="16"/>
    <x v="7"/>
    <x v="3"/>
    <x v="5"/>
    <n v="11967.95"/>
    <n v="3"/>
    <n v="1164.27"/>
    <n v="0.09"/>
  </r>
  <r>
    <x v="184"/>
    <x v="143"/>
    <x v="1"/>
    <x v="1"/>
    <x v="0"/>
    <n v="65018.97"/>
    <n v="17"/>
    <n v="12674.82"/>
    <n v="0.04"/>
  </r>
  <r>
    <x v="185"/>
    <x v="144"/>
    <x v="13"/>
    <x v="0"/>
    <x v="1"/>
    <n v="11061.3"/>
    <n v="12"/>
    <n v="1428.69"/>
    <n v="0.24"/>
  </r>
  <r>
    <x v="186"/>
    <x v="145"/>
    <x v="12"/>
    <x v="2"/>
    <x v="3"/>
    <n v="16773.29"/>
    <n v="19"/>
    <n v="3319.4"/>
    <n v="0.27"/>
  </r>
  <r>
    <x v="187"/>
    <x v="146"/>
    <x v="6"/>
    <x v="3"/>
    <x v="2"/>
    <n v="64845.1"/>
    <n v="4"/>
    <n v="6537.05"/>
    <n v="0.21"/>
  </r>
  <r>
    <x v="188"/>
    <x v="43"/>
    <x v="3"/>
    <x v="0"/>
    <x v="5"/>
    <n v="38854.339999999997"/>
    <n v="17"/>
    <n v="8002.24"/>
    <n v="0.08"/>
  </r>
  <r>
    <x v="189"/>
    <x v="1"/>
    <x v="10"/>
    <x v="2"/>
    <x v="4"/>
    <n v="15629.05"/>
    <n v="20"/>
    <n v="3832.67"/>
    <n v="0.12"/>
  </r>
  <r>
    <x v="190"/>
    <x v="147"/>
    <x v="2"/>
    <x v="1"/>
    <x v="3"/>
    <n v="71375.259999999995"/>
    <n v="2"/>
    <n v="9472.6299999999992"/>
    <n v="0.12"/>
  </r>
  <r>
    <x v="191"/>
    <x v="112"/>
    <x v="12"/>
    <x v="3"/>
    <x v="1"/>
    <n v="7705.72"/>
    <n v="5"/>
    <n v="648.14"/>
    <n v="0.2"/>
  </r>
  <r>
    <x v="192"/>
    <x v="148"/>
    <x v="4"/>
    <x v="0"/>
    <x v="4"/>
    <n v="17832.38"/>
    <n v="14"/>
    <n v="1648.47"/>
    <n v="0.33"/>
  </r>
  <r>
    <x v="193"/>
    <x v="149"/>
    <x v="9"/>
    <x v="1"/>
    <x v="5"/>
    <n v="3229.36"/>
    <n v="14"/>
    <n v="704.11"/>
    <n v="0.16"/>
  </r>
  <r>
    <x v="194"/>
    <x v="150"/>
    <x v="1"/>
    <x v="0"/>
    <x v="2"/>
    <n v="19345.23"/>
    <n v="19"/>
    <n v="4226.24"/>
    <n v="0.1"/>
  </r>
  <r>
    <x v="195"/>
    <x v="151"/>
    <x v="4"/>
    <x v="1"/>
    <x v="3"/>
    <n v="55391.839999999997"/>
    <n v="3"/>
    <n v="10506.49"/>
    <n v="0.21"/>
  </r>
  <r>
    <x v="196"/>
    <x v="152"/>
    <x v="0"/>
    <x v="0"/>
    <x v="4"/>
    <n v="40994.11"/>
    <n v="3"/>
    <n v="8175.57"/>
    <n v="0.28999999999999998"/>
  </r>
  <r>
    <x v="197"/>
    <x v="153"/>
    <x v="4"/>
    <x v="2"/>
    <x v="0"/>
    <n v="31172.240000000002"/>
    <n v="9"/>
    <n v="5256.88"/>
    <n v="0.14000000000000001"/>
  </r>
  <r>
    <x v="198"/>
    <x v="1"/>
    <x v="11"/>
    <x v="3"/>
    <x v="5"/>
    <n v="37312.870000000003"/>
    <n v="20"/>
    <n v="4197.68"/>
    <n v="0.21"/>
  </r>
  <r>
    <x v="199"/>
    <x v="154"/>
    <x v="10"/>
    <x v="0"/>
    <x v="5"/>
    <n v="16962.93"/>
    <n v="18"/>
    <n v="3566.2"/>
    <n v="0.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63226-49A2-4D7A-834E-7D19467FCF5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K4" firstHeaderRow="1" firstDataRow="1" firstDataCol="0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Average order value" fld="5" subtotal="average" baseField="0" baseItem="45341424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outline="0" axis="axisValues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AF834-DB04-4D04-BE76-70433777E552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8:N14" firstHeaderRow="1" firstDataRow="1" firstDataCol="1"/>
  <pivotFields count="11">
    <pivotField showAll="0"/>
    <pivotField numFmtId="14" showAll="0"/>
    <pivotField showAll="0"/>
    <pivotField showAll="0"/>
    <pivotField axis="axisRow" showAll="0" measureFilter="1" sortType="descending">
      <items count="7">
        <item x="2"/>
        <item x="3"/>
        <item x="4"/>
        <item x="0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 defaultSubtotal="0"/>
    <pivotField showAll="0" defaultSubtotal="0"/>
  </pivotFields>
  <rowFields count="1">
    <field x="4"/>
  </rowFields>
  <rowItems count="6">
    <i>
      <x v="2"/>
    </i>
    <i>
      <x v="4"/>
    </i>
    <i>
      <x v="3"/>
    </i>
    <i>
      <x v="5"/>
    </i>
    <i>
      <x v="1"/>
    </i>
    <i t="grand">
      <x/>
    </i>
  </rowItems>
  <colItems count="1">
    <i/>
  </colItems>
  <dataFields count="1">
    <dataField name="Sum of sales" fld="5" baseField="0" baseItem="0"/>
  </dataFields>
  <formats count="1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4" type="button" dataOnly="0" labelOnly="1" outline="0" axis="axisRow" fieldPosition="0"/>
    </format>
    <format dxfId="20">
      <pivotArea dataOnly="0" labelOnly="1" fieldPosition="0">
        <references count="1">
          <reference field="4" count="5">
            <x v="1"/>
            <x v="2"/>
            <x v="3"/>
            <x v="4"/>
            <x v="5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5">
            <x v="1"/>
            <x v="2"/>
            <x v="3"/>
            <x v="4"/>
            <x v="5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field="4" type="button" dataOnly="0" labelOnly="1" outline="0" axis="axisRow" fieldPosition="0"/>
    </format>
    <format dxfId="10">
      <pivotArea dataOnly="0" labelOnly="1" outline="0" axis="axisValues" fieldPosition="0"/>
    </format>
    <format dxfId="9">
      <pivotArea field="4" type="button" dataOnly="0" labelOnly="1" outline="0" axis="axisRow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A72E6-6AE7-4F55-A760-E5395BB7F728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8:K19" firstHeaderRow="1" firstDataRow="1" firstDataCol="1"/>
  <pivotFields count="11">
    <pivotField showAll="0"/>
    <pivotField numFmtId="14" showAll="0"/>
    <pivotField axis="axisRow" showAll="0" measureFilter="1" sortType="descending">
      <items count="16">
        <item x="9"/>
        <item x="7"/>
        <item x="11"/>
        <item x="12"/>
        <item x="14"/>
        <item x="0"/>
        <item x="4"/>
        <item x="10"/>
        <item x="2"/>
        <item x="3"/>
        <item x="5"/>
        <item x="6"/>
        <item x="8"/>
        <item x="1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</pivotFields>
  <rowFields count="1">
    <field x="2"/>
  </rowFields>
  <rowItems count="11">
    <i>
      <x v="6"/>
    </i>
    <i>
      <x v="2"/>
    </i>
    <i>
      <x v="7"/>
    </i>
    <i>
      <x v="8"/>
    </i>
    <i>
      <x v="3"/>
    </i>
    <i>
      <x v="9"/>
    </i>
    <i>
      <x v="10"/>
    </i>
    <i>
      <x v="5"/>
    </i>
    <i>
      <x v="4"/>
    </i>
    <i>
      <x v="12"/>
    </i>
    <i t="grand">
      <x/>
    </i>
  </rowItems>
  <colItems count="1">
    <i/>
  </colItems>
  <dataFields count="1">
    <dataField name="Sum of sales" fld="5" baseField="0" baseItem="0"/>
  </dataFields>
  <formats count="1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2" type="button" dataOnly="0" labelOnly="1" outline="0" axis="axisRow" fieldPosition="0"/>
    </format>
    <format dxfId="36">
      <pivotArea dataOnly="0" labelOnly="1" fieldPosition="0">
        <references count="1">
          <reference field="2" count="10">
            <x v="2"/>
            <x v="3"/>
            <x v="4"/>
            <x v="5"/>
            <x v="6"/>
            <x v="7"/>
            <x v="8"/>
            <x v="9"/>
            <x v="10"/>
            <x v="12"/>
          </reference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2" type="button" dataOnly="0" labelOnly="1" outline="0" axis="axisRow" fieldPosition="0"/>
    </format>
    <format dxfId="30">
      <pivotArea dataOnly="0" labelOnly="1" fieldPosition="0">
        <references count="1">
          <reference field="2" count="10">
            <x v="2"/>
            <x v="3"/>
            <x v="4"/>
            <x v="5"/>
            <x v="6"/>
            <x v="7"/>
            <x v="8"/>
            <x v="9"/>
            <x v="10"/>
            <x v="12"/>
          </reference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field="2" type="button" dataOnly="0" labelOnly="1" outline="0" axis="axisRow" fieldPosition="0"/>
    </format>
    <format dxfId="26">
      <pivotArea dataOnly="0" labelOnly="1" outline="0" axis="axisValues" fieldPosition="0"/>
    </format>
    <format dxfId="25">
      <pivotArea field="2" type="button" dataOnly="0" labelOnly="1" outline="0" axis="axisRow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8ED94-3420-44BE-961C-E746479D37F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I4" firstHeaderRow="1" firstDataRow="1" firstDataCol="0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Total quantity sold" fld="6" baseField="0" baseItem="0"/>
  </dataFields>
  <formats count="8">
    <format dxfId="47">
      <pivotArea type="all" dataOnly="0" outline="0" fieldPosition="0"/>
    </format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dataOnly="0" labelOnly="1" outline="0" axis="axisValues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F18BA-1CD7-4C22-AD92-8C36C66FD46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8:H21" firstHeaderRow="1" firstDataRow="1" firstDataCol="1"/>
  <pivotFields count="11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sd="0" x="2"/>
        <item sd="0" x="3"/>
        <item t="default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5" baseField="0" baseItem="0"/>
  </dataFields>
  <formats count="16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1" type="button" dataOnly="0" labelOnly="1" outline="0" axis="axisRow" fieldPosition="0"/>
    </format>
    <format dxfId="60">
      <pivotArea dataOnly="0" labelOnly="1" fieldPosition="0">
        <references count="1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" type="button" dataOnly="0" labelOnly="1" outline="0" axis="axisRow" fieldPosition="0"/>
    </format>
    <format dxfId="54">
      <pivotArea dataOnly="0" labelOnly="1" fieldPosition="0">
        <references count="1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field="1" type="button" dataOnly="0" labelOnly="1" outline="0" axis="axisRow" fieldPosition="0"/>
    </format>
    <format dxfId="50">
      <pivotArea dataOnly="0" labelOnly="1" outline="0" axis="axisValues" fieldPosition="0"/>
    </format>
    <format dxfId="49">
      <pivotArea field="1" type="button" dataOnly="0" labelOnly="1" outline="0" axis="axisRow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58C41-E10A-42CE-8E29-FBB47DA2B5C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G4" firstHeaderRow="1" firstDataRow="1" firstDataCol="0"/>
  <pivotFields count="11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Total orders" fld="0" subtotal="count" baseField="0" baseItem="0"/>
  </dataFields>
  <formats count="8">
    <format dxfId="71">
      <pivotArea type="all" dataOnly="0" outline="0" fieldPosition="0"/>
    </format>
    <format dxfId="70">
      <pivotArea outline="0" collapsedLevelsAreSubtotals="1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dataOnly="0" labelOnly="1" outline="0" axis="axisValues" fieldPosition="0"/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7BFE1-0FC5-4B83-9E03-7850617C47B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Total profit" fld="7" baseField="0" baseItem="0"/>
  </dataFields>
  <formats count="8">
    <format dxfId="79">
      <pivotArea type="all" dataOnly="0" outline="0" fieldPosition="0"/>
    </format>
    <format dxfId="78">
      <pivotArea outline="0" collapsedLevelsAreSubtotals="1" fieldPosition="0"/>
    </format>
    <format dxfId="77">
      <pivotArea dataOnly="0" labelOnly="1" outline="0" axis="axisValues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dataOnly="0" labelOnly="1" outline="0" axis="axisValues" fieldPosition="0"/>
    </format>
    <format dxfId="73">
      <pivotArea dataOnly="0" labelOnly="1" outline="0" axis="axisValues" fieldPosition="0"/>
    </format>
    <format dxfId="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7BB22-6108-478C-8D29-B3B8DBB4B75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8:E15" firstHeaderRow="1" firstDataRow="1" firstDataCol="1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7">
        <item x="2"/>
        <item x="3"/>
        <item x="4"/>
        <item x="0"/>
        <item x="5"/>
        <item x="1"/>
        <item t="default"/>
      </items>
    </pivotField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7" baseField="0" baseItem="0"/>
  </dataFields>
  <formats count="16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4" type="button" dataOnly="0" labelOnly="1" outline="0" axis="axisRow" fieldPosition="0"/>
    </format>
    <format dxfId="92">
      <pivotArea dataOnly="0" labelOnly="1" fieldPosition="0">
        <references count="1">
          <reference field="4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4" type="button" dataOnly="0" labelOnly="1" outline="0" axis="axisRow" fieldPosition="0"/>
    </format>
    <format dxfId="86">
      <pivotArea dataOnly="0" labelOnly="1" fieldPosition="0">
        <references count="1">
          <reference field="4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  <format dxfId="83">
      <pivotArea field="4" type="button" dataOnly="0" labelOnly="1" outline="0" axis="axisRow" fieldPosition="0"/>
    </format>
    <format dxfId="82">
      <pivotArea dataOnly="0" labelOnly="1" outline="0" axis="axisValues" fieldPosition="0"/>
    </format>
    <format dxfId="81">
      <pivotArea field="4" type="button" dataOnly="0" labelOnly="1" outline="0" axis="axisRow" fieldPosition="0"/>
    </format>
    <format dxfId="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8AB99-FB38-4C81-B9B8-E7DE29B371E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Total sales " fld="5" baseField="0" baseItem="0"/>
  </dataFields>
  <formats count="8">
    <format dxfId="103">
      <pivotArea type="all" dataOnly="0" outline="0" fieldPosition="0"/>
    </format>
    <format dxfId="102">
      <pivotArea outline="0" collapsedLevelsAreSubtotals="1" fieldPosition="0"/>
    </format>
    <format dxfId="101">
      <pivotArea dataOnly="0" labelOnly="1" outline="0" axis="axisValues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dataOnly="0" labelOnly="1" outline="0" axis="axisValues" fieldPosition="0"/>
    </format>
    <format dxfId="97">
      <pivotArea dataOnly="0" labelOnly="1" outline="0" axis="axisValues" fieldPosition="0"/>
    </format>
    <format dxfId="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75AD4-29B9-48D6-9575-9FC4812A3AB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3" firstHeaderRow="1" firstDataRow="1" firstDataCol="1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formats count="16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3" type="button" dataOnly="0" labelOnly="1" outline="0" axis="axisRow" fieldPosition="0"/>
    </format>
    <format dxfId="116">
      <pivotArea dataOnly="0" labelOnly="1" fieldPosition="0">
        <references count="1">
          <reference field="3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3" type="button" dataOnly="0" labelOnly="1" outline="0" axis="axisRow" fieldPosition="0"/>
    </format>
    <format dxfId="110">
      <pivotArea dataOnly="0" labelOnly="1" fieldPosition="0">
        <references count="1">
          <reference field="3" count="0"/>
        </references>
      </pivotArea>
    </format>
    <format dxfId="109">
      <pivotArea dataOnly="0" labelOnly="1" grandRow="1" outline="0" fieldPosition="0"/>
    </format>
    <format dxfId="108">
      <pivotArea dataOnly="0" labelOnly="1" outline="0" axis="axisValues" fieldPosition="0"/>
    </format>
    <format dxfId="107">
      <pivotArea field="3" type="button" dataOnly="0" labelOnly="1" outline="0" axis="axisRow" fieldPosition="0"/>
    </format>
    <format dxfId="106">
      <pivotArea dataOnly="0" labelOnly="1" outline="0" axis="axisValues" fieldPosition="0"/>
    </format>
    <format dxfId="105">
      <pivotArea field="3" type="button" dataOnly="0" labelOnly="1" outline="0" axis="axisRow" fieldPosition="0"/>
    </format>
    <format dxfId="10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R14" sqref="R14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45864</v>
      </c>
      <c r="C2" t="s">
        <v>10</v>
      </c>
      <c r="D2" t="s">
        <v>11</v>
      </c>
      <c r="E2" t="s">
        <v>12</v>
      </c>
      <c r="F2">
        <v>14231.37</v>
      </c>
      <c r="G2">
        <v>8</v>
      </c>
      <c r="H2">
        <v>1562.83</v>
      </c>
      <c r="I2">
        <v>0.05</v>
      </c>
    </row>
    <row r="3" spans="1:9" x14ac:dyDescent="0.25">
      <c r="A3" t="s">
        <v>13</v>
      </c>
      <c r="B3" s="1">
        <v>45854</v>
      </c>
      <c r="C3" t="s">
        <v>14</v>
      </c>
      <c r="D3" t="s">
        <v>15</v>
      </c>
      <c r="E3" t="s">
        <v>12</v>
      </c>
      <c r="F3">
        <v>37206.35</v>
      </c>
      <c r="G3">
        <v>14</v>
      </c>
      <c r="H3">
        <v>6703.89</v>
      </c>
      <c r="I3">
        <v>0.25</v>
      </c>
    </row>
    <row r="4" spans="1:9" x14ac:dyDescent="0.25">
      <c r="A4" t="s">
        <v>16</v>
      </c>
      <c r="B4" s="1">
        <v>45849</v>
      </c>
      <c r="C4" t="s">
        <v>17</v>
      </c>
      <c r="D4" t="s">
        <v>18</v>
      </c>
      <c r="E4" t="s">
        <v>19</v>
      </c>
      <c r="F4">
        <v>16731.72</v>
      </c>
      <c r="G4">
        <v>15</v>
      </c>
      <c r="H4">
        <v>3940.21</v>
      </c>
      <c r="I4">
        <v>0.23</v>
      </c>
    </row>
    <row r="5" spans="1:9" x14ac:dyDescent="0.25">
      <c r="A5" t="s">
        <v>20</v>
      </c>
      <c r="B5" s="1">
        <v>45831</v>
      </c>
      <c r="C5" t="s">
        <v>21</v>
      </c>
      <c r="D5" t="s">
        <v>15</v>
      </c>
      <c r="E5" t="s">
        <v>22</v>
      </c>
      <c r="F5">
        <v>24412.03</v>
      </c>
      <c r="G5">
        <v>2</v>
      </c>
      <c r="H5">
        <v>2148.84</v>
      </c>
      <c r="I5">
        <v>0.09</v>
      </c>
    </row>
    <row r="6" spans="1:9" x14ac:dyDescent="0.25">
      <c r="A6" t="s">
        <v>23</v>
      </c>
      <c r="B6" s="1">
        <v>45762</v>
      </c>
      <c r="C6" t="s">
        <v>24</v>
      </c>
      <c r="D6" t="s">
        <v>15</v>
      </c>
      <c r="E6" t="s">
        <v>22</v>
      </c>
      <c r="F6">
        <v>39380.47</v>
      </c>
      <c r="G6">
        <v>7</v>
      </c>
      <c r="H6">
        <v>10390.24</v>
      </c>
      <c r="I6">
        <v>0.21</v>
      </c>
    </row>
    <row r="7" spans="1:9" x14ac:dyDescent="0.25">
      <c r="A7" t="s">
        <v>25</v>
      </c>
      <c r="B7" s="1">
        <v>45841</v>
      </c>
      <c r="C7" t="s">
        <v>26</v>
      </c>
      <c r="D7" t="s">
        <v>11</v>
      </c>
      <c r="E7" t="s">
        <v>19</v>
      </c>
      <c r="F7">
        <v>12900.08</v>
      </c>
      <c r="G7">
        <v>15</v>
      </c>
      <c r="H7">
        <v>3419.52</v>
      </c>
      <c r="I7">
        <v>0.21</v>
      </c>
    </row>
    <row r="8" spans="1:9" x14ac:dyDescent="0.25">
      <c r="A8" t="s">
        <v>27</v>
      </c>
      <c r="B8" s="1">
        <v>45915</v>
      </c>
      <c r="C8" t="s">
        <v>28</v>
      </c>
      <c r="D8" t="s">
        <v>11</v>
      </c>
      <c r="E8" t="s">
        <v>29</v>
      </c>
      <c r="F8">
        <v>9124.64</v>
      </c>
      <c r="G8">
        <v>6</v>
      </c>
      <c r="H8">
        <v>2175.62</v>
      </c>
      <c r="I8">
        <v>0.17</v>
      </c>
    </row>
    <row r="9" spans="1:9" x14ac:dyDescent="0.25">
      <c r="A9" t="s">
        <v>30</v>
      </c>
      <c r="B9" s="1">
        <v>45699</v>
      </c>
      <c r="C9" t="s">
        <v>31</v>
      </c>
      <c r="D9" t="s">
        <v>18</v>
      </c>
      <c r="E9" t="s">
        <v>19</v>
      </c>
      <c r="F9">
        <v>7365.4</v>
      </c>
      <c r="G9">
        <v>10</v>
      </c>
      <c r="H9">
        <v>1054.82</v>
      </c>
      <c r="I9">
        <v>0.22</v>
      </c>
    </row>
    <row r="10" spans="1:9" x14ac:dyDescent="0.25">
      <c r="A10" t="s">
        <v>32</v>
      </c>
      <c r="B10" s="1">
        <v>45727</v>
      </c>
      <c r="C10" t="s">
        <v>14</v>
      </c>
      <c r="D10" t="s">
        <v>18</v>
      </c>
      <c r="E10" t="s">
        <v>33</v>
      </c>
      <c r="F10">
        <v>67597.789999999994</v>
      </c>
      <c r="G10">
        <v>2</v>
      </c>
      <c r="H10">
        <v>10517.85</v>
      </c>
      <c r="I10">
        <v>0.22</v>
      </c>
    </row>
    <row r="11" spans="1:9" x14ac:dyDescent="0.25">
      <c r="A11" t="s">
        <v>34</v>
      </c>
      <c r="B11" s="1">
        <v>45937</v>
      </c>
      <c r="C11" t="s">
        <v>10</v>
      </c>
      <c r="D11" t="s">
        <v>11</v>
      </c>
      <c r="E11" t="s">
        <v>35</v>
      </c>
      <c r="F11">
        <v>70660.08</v>
      </c>
      <c r="G11">
        <v>16</v>
      </c>
      <c r="H11">
        <v>5524.59</v>
      </c>
      <c r="I11">
        <v>0.32</v>
      </c>
    </row>
    <row r="12" spans="1:9" x14ac:dyDescent="0.25">
      <c r="A12" t="s">
        <v>36</v>
      </c>
      <c r="B12" s="1">
        <v>45965</v>
      </c>
      <c r="C12" t="s">
        <v>37</v>
      </c>
      <c r="D12" t="s">
        <v>11</v>
      </c>
      <c r="E12" t="s">
        <v>12</v>
      </c>
      <c r="F12">
        <v>70650.53</v>
      </c>
      <c r="G12">
        <v>4</v>
      </c>
      <c r="H12">
        <v>8777.09</v>
      </c>
      <c r="I12">
        <v>0.03</v>
      </c>
    </row>
    <row r="13" spans="1:9" x14ac:dyDescent="0.25">
      <c r="A13" t="s">
        <v>38</v>
      </c>
      <c r="B13" s="1">
        <v>45747</v>
      </c>
      <c r="C13" t="s">
        <v>26</v>
      </c>
      <c r="D13" t="s">
        <v>18</v>
      </c>
      <c r="E13" t="s">
        <v>33</v>
      </c>
      <c r="F13">
        <v>69385.91</v>
      </c>
      <c r="G13">
        <v>18</v>
      </c>
      <c r="H13">
        <v>12720.29</v>
      </c>
      <c r="I13">
        <v>0.11</v>
      </c>
    </row>
    <row r="14" spans="1:9" x14ac:dyDescent="0.25">
      <c r="A14" t="s">
        <v>39</v>
      </c>
      <c r="B14" s="1">
        <v>45777</v>
      </c>
      <c r="C14" t="s">
        <v>17</v>
      </c>
      <c r="D14" t="s">
        <v>40</v>
      </c>
      <c r="E14" t="s">
        <v>29</v>
      </c>
      <c r="F14">
        <v>64482.09</v>
      </c>
      <c r="G14">
        <v>12</v>
      </c>
      <c r="H14">
        <v>6704.71</v>
      </c>
      <c r="I14">
        <v>7.0000000000000007E-2</v>
      </c>
    </row>
    <row r="15" spans="1:9" x14ac:dyDescent="0.25">
      <c r="A15" t="s">
        <v>41</v>
      </c>
      <c r="B15" s="1">
        <v>45805</v>
      </c>
      <c r="C15" t="s">
        <v>42</v>
      </c>
      <c r="D15" t="s">
        <v>15</v>
      </c>
      <c r="E15" t="s">
        <v>35</v>
      </c>
      <c r="F15">
        <v>17007.84</v>
      </c>
      <c r="G15">
        <v>13</v>
      </c>
      <c r="H15">
        <v>4157.9799999999996</v>
      </c>
      <c r="I15">
        <v>0.12</v>
      </c>
    </row>
    <row r="16" spans="1:9" x14ac:dyDescent="0.25">
      <c r="A16" t="s">
        <v>43</v>
      </c>
      <c r="B16" s="1">
        <v>45855</v>
      </c>
      <c r="C16" t="s">
        <v>10</v>
      </c>
      <c r="D16" t="s">
        <v>40</v>
      </c>
      <c r="E16" t="s">
        <v>12</v>
      </c>
      <c r="F16">
        <v>7857.16</v>
      </c>
      <c r="G16">
        <v>2</v>
      </c>
      <c r="H16">
        <v>1542.61</v>
      </c>
      <c r="I16">
        <v>0.32</v>
      </c>
    </row>
    <row r="17" spans="1:9" x14ac:dyDescent="0.25">
      <c r="A17" t="s">
        <v>44</v>
      </c>
      <c r="B17" s="1">
        <v>45862</v>
      </c>
      <c r="C17" t="s">
        <v>37</v>
      </c>
      <c r="D17" t="s">
        <v>18</v>
      </c>
      <c r="E17" t="s">
        <v>33</v>
      </c>
      <c r="F17">
        <v>24044.99</v>
      </c>
      <c r="G17">
        <v>8</v>
      </c>
      <c r="H17">
        <v>3068.89</v>
      </c>
      <c r="I17">
        <v>0.23</v>
      </c>
    </row>
    <row r="18" spans="1:9" x14ac:dyDescent="0.25">
      <c r="A18" t="s">
        <v>45</v>
      </c>
      <c r="B18" s="1">
        <v>46010</v>
      </c>
      <c r="C18" t="s">
        <v>46</v>
      </c>
      <c r="D18" t="s">
        <v>40</v>
      </c>
      <c r="E18" t="s">
        <v>33</v>
      </c>
      <c r="F18">
        <v>57535.5</v>
      </c>
      <c r="G18">
        <v>8</v>
      </c>
      <c r="H18">
        <v>9673.16</v>
      </c>
      <c r="I18">
        <v>0.13</v>
      </c>
    </row>
    <row r="19" spans="1:9" x14ac:dyDescent="0.25">
      <c r="A19" t="s">
        <v>47</v>
      </c>
      <c r="B19" s="1">
        <v>45699</v>
      </c>
      <c r="C19" t="s">
        <v>31</v>
      </c>
      <c r="D19" t="s">
        <v>18</v>
      </c>
      <c r="E19" t="s">
        <v>22</v>
      </c>
      <c r="F19">
        <v>72321.69</v>
      </c>
      <c r="G19">
        <v>9</v>
      </c>
      <c r="H19">
        <v>11253.69</v>
      </c>
      <c r="I19">
        <v>0.02</v>
      </c>
    </row>
    <row r="20" spans="1:9" x14ac:dyDescent="0.25">
      <c r="A20" t="s">
        <v>48</v>
      </c>
      <c r="B20" s="1">
        <v>46008</v>
      </c>
      <c r="C20" t="s">
        <v>17</v>
      </c>
      <c r="D20" t="s">
        <v>40</v>
      </c>
      <c r="E20" t="s">
        <v>22</v>
      </c>
      <c r="F20">
        <v>40460.07</v>
      </c>
      <c r="G20">
        <v>9</v>
      </c>
      <c r="H20">
        <v>5489.48</v>
      </c>
      <c r="I20">
        <v>0.15</v>
      </c>
    </row>
    <row r="21" spans="1:9" x14ac:dyDescent="0.25">
      <c r="A21" t="s">
        <v>49</v>
      </c>
      <c r="B21" s="1">
        <v>45995</v>
      </c>
      <c r="C21" t="s">
        <v>17</v>
      </c>
      <c r="D21" t="s">
        <v>11</v>
      </c>
      <c r="E21" t="s">
        <v>35</v>
      </c>
      <c r="F21">
        <v>29042.94</v>
      </c>
      <c r="G21">
        <v>20</v>
      </c>
      <c r="H21">
        <v>5190.92</v>
      </c>
      <c r="I21">
        <v>0.3</v>
      </c>
    </row>
    <row r="22" spans="1:9" x14ac:dyDescent="0.25">
      <c r="A22" t="s">
        <v>50</v>
      </c>
      <c r="B22" s="1">
        <v>46023</v>
      </c>
      <c r="C22" t="s">
        <v>51</v>
      </c>
      <c r="D22" t="s">
        <v>11</v>
      </c>
      <c r="E22" t="s">
        <v>22</v>
      </c>
      <c r="F22">
        <v>25926.68</v>
      </c>
      <c r="G22">
        <v>7</v>
      </c>
      <c r="H22">
        <v>5584.92</v>
      </c>
      <c r="I22">
        <v>0.12</v>
      </c>
    </row>
    <row r="23" spans="1:9" x14ac:dyDescent="0.25">
      <c r="A23" t="s">
        <v>52</v>
      </c>
      <c r="B23" s="1">
        <v>46013</v>
      </c>
      <c r="C23" t="s">
        <v>53</v>
      </c>
      <c r="D23" t="s">
        <v>11</v>
      </c>
      <c r="E23" t="s">
        <v>19</v>
      </c>
      <c r="F23">
        <v>50418.45</v>
      </c>
      <c r="G23">
        <v>9</v>
      </c>
      <c r="H23">
        <v>10794.75</v>
      </c>
      <c r="I23">
        <v>0.23</v>
      </c>
    </row>
    <row r="24" spans="1:9" x14ac:dyDescent="0.25">
      <c r="A24" t="s">
        <v>54</v>
      </c>
      <c r="B24" s="1">
        <v>46019</v>
      </c>
      <c r="C24" t="s">
        <v>55</v>
      </c>
      <c r="D24" t="s">
        <v>18</v>
      </c>
      <c r="E24" t="s">
        <v>35</v>
      </c>
      <c r="F24">
        <v>49585.17</v>
      </c>
      <c r="G24">
        <v>1</v>
      </c>
      <c r="H24">
        <v>9934.3700000000008</v>
      </c>
      <c r="I24">
        <v>0.04</v>
      </c>
    </row>
    <row r="25" spans="1:9" x14ac:dyDescent="0.25">
      <c r="A25" t="s">
        <v>56</v>
      </c>
      <c r="B25" s="1">
        <v>45658</v>
      </c>
      <c r="C25" t="s">
        <v>14</v>
      </c>
      <c r="D25" t="s">
        <v>40</v>
      </c>
      <c r="E25" t="s">
        <v>19</v>
      </c>
      <c r="F25">
        <v>73394.19</v>
      </c>
      <c r="G25">
        <v>6</v>
      </c>
      <c r="H25">
        <v>17185.87</v>
      </c>
      <c r="I25">
        <v>0.18</v>
      </c>
    </row>
    <row r="26" spans="1:9" x14ac:dyDescent="0.25">
      <c r="A26" t="s">
        <v>57</v>
      </c>
      <c r="B26" s="1">
        <v>45763</v>
      </c>
      <c r="C26" t="s">
        <v>53</v>
      </c>
      <c r="D26" t="s">
        <v>18</v>
      </c>
      <c r="E26" t="s">
        <v>22</v>
      </c>
      <c r="F26">
        <v>42467.62</v>
      </c>
      <c r="G26">
        <v>20</v>
      </c>
      <c r="H26">
        <v>9580.9599999999991</v>
      </c>
      <c r="I26">
        <v>0.27</v>
      </c>
    </row>
    <row r="27" spans="1:9" x14ac:dyDescent="0.25">
      <c r="A27" t="s">
        <v>58</v>
      </c>
      <c r="B27" s="1">
        <v>45968</v>
      </c>
      <c r="C27" t="s">
        <v>37</v>
      </c>
      <c r="D27" t="s">
        <v>40</v>
      </c>
      <c r="E27" t="s">
        <v>33</v>
      </c>
      <c r="F27">
        <v>55703.34</v>
      </c>
      <c r="G27">
        <v>4</v>
      </c>
      <c r="H27">
        <v>4072.71</v>
      </c>
      <c r="I27">
        <v>0.28000000000000003</v>
      </c>
    </row>
    <row r="28" spans="1:9" x14ac:dyDescent="0.25">
      <c r="A28" t="s">
        <v>59</v>
      </c>
      <c r="B28" s="1">
        <v>45674</v>
      </c>
      <c r="C28" t="s">
        <v>42</v>
      </c>
      <c r="D28" t="s">
        <v>18</v>
      </c>
      <c r="E28" t="s">
        <v>35</v>
      </c>
      <c r="F28">
        <v>28322.76</v>
      </c>
      <c r="G28">
        <v>18</v>
      </c>
      <c r="H28">
        <v>5924.64</v>
      </c>
      <c r="I28">
        <v>0.22</v>
      </c>
    </row>
    <row r="29" spans="1:9" x14ac:dyDescent="0.25">
      <c r="A29" t="s">
        <v>60</v>
      </c>
      <c r="B29" s="1">
        <v>45952</v>
      </c>
      <c r="C29" t="s">
        <v>53</v>
      </c>
      <c r="D29" t="s">
        <v>11</v>
      </c>
      <c r="E29" t="s">
        <v>29</v>
      </c>
      <c r="F29">
        <v>74394.75</v>
      </c>
      <c r="G29">
        <v>13</v>
      </c>
      <c r="H29">
        <v>8440.1299999999992</v>
      </c>
      <c r="I29">
        <v>0.14000000000000001</v>
      </c>
    </row>
    <row r="30" spans="1:9" x14ac:dyDescent="0.25">
      <c r="A30" t="s">
        <v>61</v>
      </c>
      <c r="B30" s="1">
        <v>45893</v>
      </c>
      <c r="C30" t="s">
        <v>24</v>
      </c>
      <c r="D30" t="s">
        <v>11</v>
      </c>
      <c r="E30" t="s">
        <v>33</v>
      </c>
      <c r="F30">
        <v>67730.8</v>
      </c>
      <c r="G30">
        <v>13</v>
      </c>
      <c r="H30">
        <v>18176.66</v>
      </c>
      <c r="I30">
        <v>0.15</v>
      </c>
    </row>
    <row r="31" spans="1:9" x14ac:dyDescent="0.25">
      <c r="A31" t="s">
        <v>62</v>
      </c>
      <c r="B31" s="1">
        <v>45749</v>
      </c>
      <c r="C31" t="s">
        <v>24</v>
      </c>
      <c r="D31" t="s">
        <v>40</v>
      </c>
      <c r="E31" t="s">
        <v>33</v>
      </c>
      <c r="F31">
        <v>21244.77</v>
      </c>
      <c r="G31">
        <v>19</v>
      </c>
      <c r="H31">
        <v>4141.67</v>
      </c>
      <c r="I31">
        <v>0.3</v>
      </c>
    </row>
    <row r="32" spans="1:9" x14ac:dyDescent="0.25">
      <c r="A32" t="s">
        <v>63</v>
      </c>
      <c r="B32" s="1">
        <v>45752</v>
      </c>
      <c r="C32" t="s">
        <v>17</v>
      </c>
      <c r="D32" t="s">
        <v>18</v>
      </c>
      <c r="E32" t="s">
        <v>12</v>
      </c>
      <c r="F32">
        <v>67076.78</v>
      </c>
      <c r="G32">
        <v>16</v>
      </c>
      <c r="H32">
        <v>17546.419999999998</v>
      </c>
      <c r="I32">
        <v>0.23</v>
      </c>
    </row>
    <row r="33" spans="1:9" x14ac:dyDescent="0.25">
      <c r="A33" t="s">
        <v>64</v>
      </c>
      <c r="B33" s="1">
        <v>45930</v>
      </c>
      <c r="C33" t="s">
        <v>55</v>
      </c>
      <c r="D33" t="s">
        <v>18</v>
      </c>
      <c r="E33" t="s">
        <v>12</v>
      </c>
      <c r="F33">
        <v>2140.56</v>
      </c>
      <c r="G33">
        <v>11</v>
      </c>
      <c r="H33">
        <v>155.04</v>
      </c>
      <c r="I33">
        <v>0.28000000000000003</v>
      </c>
    </row>
    <row r="34" spans="1:9" x14ac:dyDescent="0.25">
      <c r="A34" t="s">
        <v>65</v>
      </c>
      <c r="B34" s="1">
        <v>45993</v>
      </c>
      <c r="C34" t="s">
        <v>46</v>
      </c>
      <c r="D34" t="s">
        <v>15</v>
      </c>
      <c r="E34" t="s">
        <v>12</v>
      </c>
      <c r="F34">
        <v>51366.59</v>
      </c>
      <c r="G34">
        <v>9</v>
      </c>
      <c r="H34">
        <v>9430.33</v>
      </c>
      <c r="I34">
        <v>0.22</v>
      </c>
    </row>
    <row r="35" spans="1:9" x14ac:dyDescent="0.25">
      <c r="A35" t="s">
        <v>66</v>
      </c>
      <c r="B35" s="1">
        <v>45869</v>
      </c>
      <c r="C35" t="s">
        <v>53</v>
      </c>
      <c r="D35" t="s">
        <v>11</v>
      </c>
      <c r="E35" t="s">
        <v>33</v>
      </c>
      <c r="F35">
        <v>44522.58</v>
      </c>
      <c r="G35">
        <v>2</v>
      </c>
      <c r="H35">
        <v>3942.53</v>
      </c>
      <c r="I35">
        <v>0.14000000000000001</v>
      </c>
    </row>
    <row r="36" spans="1:9" x14ac:dyDescent="0.25">
      <c r="A36" t="s">
        <v>67</v>
      </c>
      <c r="B36" s="1">
        <v>45919</v>
      </c>
      <c r="C36" t="s">
        <v>55</v>
      </c>
      <c r="D36" t="s">
        <v>40</v>
      </c>
      <c r="E36" t="s">
        <v>33</v>
      </c>
      <c r="F36">
        <v>62999.7</v>
      </c>
      <c r="G36">
        <v>2</v>
      </c>
      <c r="H36">
        <v>9295.19</v>
      </c>
      <c r="I36">
        <v>0.24</v>
      </c>
    </row>
    <row r="37" spans="1:9" x14ac:dyDescent="0.25">
      <c r="A37" t="s">
        <v>68</v>
      </c>
      <c r="B37" s="1">
        <v>45754</v>
      </c>
      <c r="C37" t="s">
        <v>21</v>
      </c>
      <c r="D37" t="s">
        <v>18</v>
      </c>
      <c r="E37" t="s">
        <v>33</v>
      </c>
      <c r="F37">
        <v>21187.31</v>
      </c>
      <c r="G37">
        <v>12</v>
      </c>
      <c r="H37">
        <v>5948.58</v>
      </c>
      <c r="I37">
        <v>0.02</v>
      </c>
    </row>
    <row r="38" spans="1:9" x14ac:dyDescent="0.25">
      <c r="A38" t="s">
        <v>69</v>
      </c>
      <c r="B38" s="1">
        <v>45944</v>
      </c>
      <c r="C38" t="s">
        <v>26</v>
      </c>
      <c r="D38" t="s">
        <v>40</v>
      </c>
      <c r="E38" t="s">
        <v>19</v>
      </c>
      <c r="F38">
        <v>72037.03</v>
      </c>
      <c r="G38">
        <v>18</v>
      </c>
      <c r="H38">
        <v>16645.95</v>
      </c>
      <c r="I38">
        <v>0.03</v>
      </c>
    </row>
    <row r="39" spans="1:9" x14ac:dyDescent="0.25">
      <c r="A39" t="s">
        <v>70</v>
      </c>
      <c r="B39" s="1">
        <v>45722</v>
      </c>
      <c r="C39" t="s">
        <v>17</v>
      </c>
      <c r="D39" t="s">
        <v>11</v>
      </c>
      <c r="E39" t="s">
        <v>33</v>
      </c>
      <c r="F39">
        <v>41353.910000000003</v>
      </c>
      <c r="G39">
        <v>2</v>
      </c>
      <c r="H39">
        <v>7808.55</v>
      </c>
      <c r="I39">
        <v>0.27</v>
      </c>
    </row>
    <row r="40" spans="1:9" x14ac:dyDescent="0.25">
      <c r="A40" t="s">
        <v>71</v>
      </c>
      <c r="B40" s="1">
        <v>45743</v>
      </c>
      <c r="C40" t="s">
        <v>24</v>
      </c>
      <c r="D40" t="s">
        <v>11</v>
      </c>
      <c r="E40" t="s">
        <v>12</v>
      </c>
      <c r="F40">
        <v>46011.61</v>
      </c>
      <c r="G40">
        <v>20</v>
      </c>
      <c r="H40">
        <v>11302.06</v>
      </c>
      <c r="I40">
        <v>0.06</v>
      </c>
    </row>
    <row r="41" spans="1:9" x14ac:dyDescent="0.25">
      <c r="A41" t="s">
        <v>72</v>
      </c>
      <c r="B41" s="1">
        <v>45833</v>
      </c>
      <c r="C41" t="s">
        <v>37</v>
      </c>
      <c r="D41" t="s">
        <v>18</v>
      </c>
      <c r="E41" t="s">
        <v>33</v>
      </c>
      <c r="F41">
        <v>23752.44</v>
      </c>
      <c r="G41">
        <v>4</v>
      </c>
      <c r="H41">
        <v>5251.19</v>
      </c>
      <c r="I41">
        <v>0.05</v>
      </c>
    </row>
    <row r="42" spans="1:9" x14ac:dyDescent="0.25">
      <c r="A42" t="s">
        <v>73</v>
      </c>
      <c r="B42" s="1">
        <v>45924</v>
      </c>
      <c r="C42" t="s">
        <v>46</v>
      </c>
      <c r="D42" t="s">
        <v>15</v>
      </c>
      <c r="E42" t="s">
        <v>33</v>
      </c>
      <c r="F42">
        <v>28885.93</v>
      </c>
      <c r="G42">
        <v>4</v>
      </c>
      <c r="H42">
        <v>7437.44</v>
      </c>
      <c r="I42">
        <v>0.27</v>
      </c>
    </row>
    <row r="43" spans="1:9" x14ac:dyDescent="0.25">
      <c r="A43" t="s">
        <v>74</v>
      </c>
      <c r="B43" s="1">
        <v>45948</v>
      </c>
      <c r="C43" t="s">
        <v>51</v>
      </c>
      <c r="D43" t="s">
        <v>15</v>
      </c>
      <c r="E43" t="s">
        <v>33</v>
      </c>
      <c r="F43">
        <v>65782.039999999994</v>
      </c>
      <c r="G43">
        <v>6</v>
      </c>
      <c r="H43">
        <v>8822.9</v>
      </c>
      <c r="I43">
        <v>0.27</v>
      </c>
    </row>
    <row r="44" spans="1:9" x14ac:dyDescent="0.25">
      <c r="A44" t="s">
        <v>75</v>
      </c>
      <c r="B44" s="1">
        <v>45818</v>
      </c>
      <c r="C44" t="s">
        <v>76</v>
      </c>
      <c r="D44" t="s">
        <v>15</v>
      </c>
      <c r="E44" t="s">
        <v>12</v>
      </c>
      <c r="F44">
        <v>30342.959999999999</v>
      </c>
      <c r="G44">
        <v>10</v>
      </c>
      <c r="H44">
        <v>2337.9</v>
      </c>
      <c r="I44">
        <v>0.33</v>
      </c>
    </row>
    <row r="45" spans="1:9" x14ac:dyDescent="0.25">
      <c r="A45" t="s">
        <v>77</v>
      </c>
      <c r="B45" s="1">
        <v>45663</v>
      </c>
      <c r="C45" t="s">
        <v>31</v>
      </c>
      <c r="D45" t="s">
        <v>40</v>
      </c>
      <c r="E45" t="s">
        <v>12</v>
      </c>
      <c r="F45">
        <v>22884.16</v>
      </c>
      <c r="G45">
        <v>4</v>
      </c>
      <c r="H45">
        <v>5373.75</v>
      </c>
      <c r="I45">
        <v>0.17</v>
      </c>
    </row>
    <row r="46" spans="1:9" x14ac:dyDescent="0.25">
      <c r="A46" t="s">
        <v>78</v>
      </c>
      <c r="B46" s="1">
        <v>45678</v>
      </c>
      <c r="C46" t="s">
        <v>24</v>
      </c>
      <c r="D46" t="s">
        <v>11</v>
      </c>
      <c r="E46" t="s">
        <v>12</v>
      </c>
      <c r="F46">
        <v>51582.98</v>
      </c>
      <c r="G46">
        <v>11</v>
      </c>
      <c r="H46">
        <v>11688.59</v>
      </c>
      <c r="I46">
        <v>0.23</v>
      </c>
    </row>
    <row r="47" spans="1:9" x14ac:dyDescent="0.25">
      <c r="A47" t="s">
        <v>79</v>
      </c>
      <c r="B47" s="1">
        <v>45675</v>
      </c>
      <c r="C47" t="s">
        <v>10</v>
      </c>
      <c r="D47" t="s">
        <v>40</v>
      </c>
      <c r="E47" t="s">
        <v>12</v>
      </c>
      <c r="F47">
        <v>17771</v>
      </c>
      <c r="G47">
        <v>5</v>
      </c>
      <c r="H47">
        <v>1203.24</v>
      </c>
      <c r="I47">
        <v>0.24</v>
      </c>
    </row>
    <row r="48" spans="1:9" x14ac:dyDescent="0.25">
      <c r="A48" t="s">
        <v>80</v>
      </c>
      <c r="B48" s="1">
        <v>45805</v>
      </c>
      <c r="C48" t="s">
        <v>46</v>
      </c>
      <c r="D48" t="s">
        <v>18</v>
      </c>
      <c r="E48" t="s">
        <v>22</v>
      </c>
      <c r="F48">
        <v>38908.15</v>
      </c>
      <c r="G48">
        <v>8</v>
      </c>
      <c r="H48">
        <v>6702.16</v>
      </c>
      <c r="I48">
        <v>0.06</v>
      </c>
    </row>
    <row r="49" spans="1:9" x14ac:dyDescent="0.25">
      <c r="A49" t="s">
        <v>81</v>
      </c>
      <c r="B49" s="1">
        <v>45685</v>
      </c>
      <c r="C49" t="s">
        <v>55</v>
      </c>
      <c r="D49" t="s">
        <v>11</v>
      </c>
      <c r="E49" t="s">
        <v>19</v>
      </c>
      <c r="F49">
        <v>20225.7</v>
      </c>
      <c r="G49">
        <v>19</v>
      </c>
      <c r="H49">
        <v>1949.03</v>
      </c>
      <c r="I49">
        <v>0.03</v>
      </c>
    </row>
    <row r="50" spans="1:9" x14ac:dyDescent="0.25">
      <c r="A50" t="s">
        <v>82</v>
      </c>
      <c r="B50" s="1">
        <v>45672</v>
      </c>
      <c r="C50" t="s">
        <v>17</v>
      </c>
      <c r="D50" t="s">
        <v>11</v>
      </c>
      <c r="E50" t="s">
        <v>33</v>
      </c>
      <c r="F50">
        <v>67642.210000000006</v>
      </c>
      <c r="G50">
        <v>6</v>
      </c>
      <c r="H50">
        <v>5360.94</v>
      </c>
      <c r="I50">
        <v>0.22</v>
      </c>
    </row>
    <row r="51" spans="1:9" x14ac:dyDescent="0.25">
      <c r="A51" t="s">
        <v>83</v>
      </c>
      <c r="B51" s="1">
        <v>45788</v>
      </c>
      <c r="C51" t="s">
        <v>26</v>
      </c>
      <c r="D51" t="s">
        <v>18</v>
      </c>
      <c r="E51" t="s">
        <v>33</v>
      </c>
      <c r="F51">
        <v>1238.25</v>
      </c>
      <c r="G51">
        <v>2</v>
      </c>
      <c r="H51">
        <v>322.43</v>
      </c>
      <c r="I51">
        <v>0.18</v>
      </c>
    </row>
    <row r="52" spans="1:9" x14ac:dyDescent="0.25">
      <c r="A52" t="s">
        <v>84</v>
      </c>
      <c r="B52" s="1">
        <v>45886</v>
      </c>
      <c r="C52" t="s">
        <v>21</v>
      </c>
      <c r="D52" t="s">
        <v>11</v>
      </c>
      <c r="E52" t="s">
        <v>12</v>
      </c>
      <c r="F52">
        <v>18265.41</v>
      </c>
      <c r="G52">
        <v>14</v>
      </c>
      <c r="H52">
        <v>5039.16</v>
      </c>
      <c r="I52">
        <v>0.05</v>
      </c>
    </row>
    <row r="53" spans="1:9" x14ac:dyDescent="0.25">
      <c r="A53" t="s">
        <v>85</v>
      </c>
      <c r="B53" s="1">
        <v>45704</v>
      </c>
      <c r="C53" t="s">
        <v>24</v>
      </c>
      <c r="D53" t="s">
        <v>11</v>
      </c>
      <c r="E53" t="s">
        <v>33</v>
      </c>
      <c r="F53">
        <v>55288.959999999999</v>
      </c>
      <c r="G53">
        <v>16</v>
      </c>
      <c r="H53">
        <v>14399.85</v>
      </c>
      <c r="I53">
        <v>7.0000000000000007E-2</v>
      </c>
    </row>
    <row r="54" spans="1:9" x14ac:dyDescent="0.25">
      <c r="A54" t="s">
        <v>86</v>
      </c>
      <c r="B54" s="1">
        <v>45881</v>
      </c>
      <c r="C54" t="s">
        <v>76</v>
      </c>
      <c r="D54" t="s">
        <v>11</v>
      </c>
      <c r="E54" t="s">
        <v>33</v>
      </c>
      <c r="F54">
        <v>10961.42</v>
      </c>
      <c r="G54">
        <v>8</v>
      </c>
      <c r="H54">
        <v>2502.4899999999998</v>
      </c>
      <c r="I54">
        <v>0.06</v>
      </c>
    </row>
    <row r="55" spans="1:9" x14ac:dyDescent="0.25">
      <c r="A55" t="s">
        <v>87</v>
      </c>
      <c r="B55" s="1">
        <v>45743</v>
      </c>
      <c r="C55" t="s">
        <v>28</v>
      </c>
      <c r="D55" t="s">
        <v>15</v>
      </c>
      <c r="E55" t="s">
        <v>33</v>
      </c>
      <c r="F55">
        <v>18797.36</v>
      </c>
      <c r="G55">
        <v>8</v>
      </c>
      <c r="H55">
        <v>2785.76</v>
      </c>
      <c r="I55">
        <v>0.24</v>
      </c>
    </row>
    <row r="56" spans="1:9" x14ac:dyDescent="0.25">
      <c r="A56" t="s">
        <v>88</v>
      </c>
      <c r="B56" s="1">
        <v>45926</v>
      </c>
      <c r="C56" t="s">
        <v>14</v>
      </c>
      <c r="D56" t="s">
        <v>15</v>
      </c>
      <c r="E56" t="s">
        <v>33</v>
      </c>
      <c r="F56">
        <v>19536.810000000001</v>
      </c>
      <c r="G56">
        <v>19</v>
      </c>
      <c r="H56">
        <v>2340.86</v>
      </c>
      <c r="I56">
        <v>0.12</v>
      </c>
    </row>
    <row r="57" spans="1:9" x14ac:dyDescent="0.25">
      <c r="A57" t="s">
        <v>89</v>
      </c>
      <c r="B57" s="1">
        <v>45979</v>
      </c>
      <c r="C57" t="s">
        <v>42</v>
      </c>
      <c r="D57" t="s">
        <v>15</v>
      </c>
      <c r="E57" t="s">
        <v>22</v>
      </c>
      <c r="F57">
        <v>5599.35</v>
      </c>
      <c r="G57">
        <v>7</v>
      </c>
      <c r="H57">
        <v>1033.69</v>
      </c>
      <c r="I57">
        <v>0.32</v>
      </c>
    </row>
    <row r="58" spans="1:9" x14ac:dyDescent="0.25">
      <c r="A58" t="s">
        <v>90</v>
      </c>
      <c r="B58" s="1">
        <v>45752</v>
      </c>
      <c r="C58" t="s">
        <v>53</v>
      </c>
      <c r="D58" t="s">
        <v>40</v>
      </c>
      <c r="E58" t="s">
        <v>29</v>
      </c>
      <c r="F58">
        <v>43716.81</v>
      </c>
      <c r="G58">
        <v>10</v>
      </c>
      <c r="H58">
        <v>7099.96</v>
      </c>
      <c r="I58">
        <v>7.0000000000000007E-2</v>
      </c>
    </row>
    <row r="59" spans="1:9" x14ac:dyDescent="0.25">
      <c r="A59" t="s">
        <v>91</v>
      </c>
      <c r="B59" s="1">
        <v>45739</v>
      </c>
      <c r="C59" t="s">
        <v>24</v>
      </c>
      <c r="D59" t="s">
        <v>18</v>
      </c>
      <c r="E59" t="s">
        <v>33</v>
      </c>
      <c r="F59">
        <v>52547.96</v>
      </c>
      <c r="G59">
        <v>17</v>
      </c>
      <c r="H59">
        <v>9299.8700000000008</v>
      </c>
      <c r="I59">
        <v>0.09</v>
      </c>
    </row>
    <row r="60" spans="1:9" x14ac:dyDescent="0.25">
      <c r="A60" t="s">
        <v>92</v>
      </c>
      <c r="B60" s="1">
        <v>45671</v>
      </c>
      <c r="C60" t="s">
        <v>24</v>
      </c>
      <c r="D60" t="s">
        <v>11</v>
      </c>
      <c r="E60" t="s">
        <v>33</v>
      </c>
      <c r="F60">
        <v>46011.73</v>
      </c>
      <c r="G60">
        <v>13</v>
      </c>
      <c r="H60">
        <v>13194.9</v>
      </c>
      <c r="I60">
        <v>0.01</v>
      </c>
    </row>
    <row r="61" spans="1:9" x14ac:dyDescent="0.25">
      <c r="A61" t="s">
        <v>93</v>
      </c>
      <c r="B61" s="1">
        <v>45850</v>
      </c>
      <c r="C61" t="s">
        <v>55</v>
      </c>
      <c r="D61" t="s">
        <v>11</v>
      </c>
      <c r="E61" t="s">
        <v>29</v>
      </c>
      <c r="F61">
        <v>2593.6999999999998</v>
      </c>
      <c r="G61">
        <v>6</v>
      </c>
      <c r="H61">
        <v>410.35</v>
      </c>
      <c r="I61">
        <v>7.0000000000000007E-2</v>
      </c>
    </row>
    <row r="62" spans="1:9" x14ac:dyDescent="0.25">
      <c r="A62" t="s">
        <v>94</v>
      </c>
      <c r="B62" s="1">
        <v>45789</v>
      </c>
      <c r="C62" t="s">
        <v>37</v>
      </c>
      <c r="D62" t="s">
        <v>15</v>
      </c>
      <c r="E62" t="s">
        <v>19</v>
      </c>
      <c r="F62">
        <v>1054.96</v>
      </c>
      <c r="G62">
        <v>4</v>
      </c>
      <c r="H62">
        <v>86.18</v>
      </c>
      <c r="I62">
        <v>0.23</v>
      </c>
    </row>
    <row r="63" spans="1:9" x14ac:dyDescent="0.25">
      <c r="A63" t="s">
        <v>95</v>
      </c>
      <c r="B63" s="1">
        <v>45847</v>
      </c>
      <c r="C63" t="s">
        <v>51</v>
      </c>
      <c r="D63" t="s">
        <v>18</v>
      </c>
      <c r="E63" t="s">
        <v>12</v>
      </c>
      <c r="F63">
        <v>65829.97</v>
      </c>
      <c r="G63">
        <v>18</v>
      </c>
      <c r="H63">
        <v>6883.49</v>
      </c>
      <c r="I63">
        <v>0.32</v>
      </c>
    </row>
    <row r="64" spans="1:9" x14ac:dyDescent="0.25">
      <c r="A64" t="s">
        <v>96</v>
      </c>
      <c r="B64" s="1">
        <v>46022</v>
      </c>
      <c r="C64" t="s">
        <v>24</v>
      </c>
      <c r="D64" t="s">
        <v>15</v>
      </c>
      <c r="E64" t="s">
        <v>35</v>
      </c>
      <c r="F64">
        <v>40306.49</v>
      </c>
      <c r="G64">
        <v>3</v>
      </c>
      <c r="H64">
        <v>3806.59</v>
      </c>
      <c r="I64">
        <v>0.33</v>
      </c>
    </row>
    <row r="65" spans="1:9" x14ac:dyDescent="0.25">
      <c r="A65" t="s">
        <v>97</v>
      </c>
      <c r="B65" s="1">
        <v>45824</v>
      </c>
      <c r="C65" t="s">
        <v>76</v>
      </c>
      <c r="D65" t="s">
        <v>15</v>
      </c>
      <c r="E65" t="s">
        <v>35</v>
      </c>
      <c r="F65">
        <v>65846.33</v>
      </c>
      <c r="G65">
        <v>20</v>
      </c>
      <c r="H65">
        <v>7212.08</v>
      </c>
      <c r="I65">
        <v>0.22</v>
      </c>
    </row>
    <row r="66" spans="1:9" x14ac:dyDescent="0.25">
      <c r="A66" t="s">
        <v>98</v>
      </c>
      <c r="B66" s="1">
        <v>45998</v>
      </c>
      <c r="C66" t="s">
        <v>51</v>
      </c>
      <c r="D66" t="s">
        <v>15</v>
      </c>
      <c r="E66" t="s">
        <v>12</v>
      </c>
      <c r="F66">
        <v>56034.14</v>
      </c>
      <c r="G66">
        <v>3</v>
      </c>
      <c r="H66">
        <v>4700.7</v>
      </c>
      <c r="I66">
        <v>0.27</v>
      </c>
    </row>
    <row r="67" spans="1:9" x14ac:dyDescent="0.25">
      <c r="A67" t="s">
        <v>99</v>
      </c>
      <c r="B67" s="1">
        <v>45667</v>
      </c>
      <c r="C67" t="s">
        <v>53</v>
      </c>
      <c r="D67" t="s">
        <v>18</v>
      </c>
      <c r="E67" t="s">
        <v>19</v>
      </c>
      <c r="F67">
        <v>33675.480000000003</v>
      </c>
      <c r="G67">
        <v>11</v>
      </c>
      <c r="H67">
        <v>4042.28</v>
      </c>
      <c r="I67">
        <v>0.18</v>
      </c>
    </row>
    <row r="68" spans="1:9" x14ac:dyDescent="0.25">
      <c r="A68" t="s">
        <v>100</v>
      </c>
      <c r="B68" s="1">
        <v>46013</v>
      </c>
      <c r="C68" t="s">
        <v>14</v>
      </c>
      <c r="D68" t="s">
        <v>15</v>
      </c>
      <c r="E68" t="s">
        <v>35</v>
      </c>
      <c r="F68">
        <v>30479.84</v>
      </c>
      <c r="G68">
        <v>7</v>
      </c>
      <c r="H68">
        <v>8597.0400000000009</v>
      </c>
      <c r="I68">
        <v>0.02</v>
      </c>
    </row>
    <row r="69" spans="1:9" x14ac:dyDescent="0.25">
      <c r="A69" t="s">
        <v>101</v>
      </c>
      <c r="B69" s="1">
        <v>45890</v>
      </c>
      <c r="C69" t="s">
        <v>46</v>
      </c>
      <c r="D69" t="s">
        <v>18</v>
      </c>
      <c r="E69" t="s">
        <v>35</v>
      </c>
      <c r="F69">
        <v>74712.740000000005</v>
      </c>
      <c r="G69">
        <v>3</v>
      </c>
      <c r="H69">
        <v>5492.2</v>
      </c>
      <c r="I69">
        <v>0.24</v>
      </c>
    </row>
    <row r="70" spans="1:9" x14ac:dyDescent="0.25">
      <c r="A70" t="s">
        <v>102</v>
      </c>
      <c r="B70" s="1">
        <v>45700</v>
      </c>
      <c r="C70" t="s">
        <v>28</v>
      </c>
      <c r="D70" t="s">
        <v>11</v>
      </c>
      <c r="E70" t="s">
        <v>22</v>
      </c>
      <c r="F70">
        <v>15235.57</v>
      </c>
      <c r="G70">
        <v>19</v>
      </c>
      <c r="H70">
        <v>1126.19</v>
      </c>
      <c r="I70">
        <v>0.2</v>
      </c>
    </row>
    <row r="71" spans="1:9" x14ac:dyDescent="0.25">
      <c r="A71" t="s">
        <v>103</v>
      </c>
      <c r="B71" s="1">
        <v>45822</v>
      </c>
      <c r="C71" t="s">
        <v>55</v>
      </c>
      <c r="D71" t="s">
        <v>11</v>
      </c>
      <c r="E71" t="s">
        <v>19</v>
      </c>
      <c r="F71">
        <v>48372.21</v>
      </c>
      <c r="G71">
        <v>4</v>
      </c>
      <c r="H71">
        <v>8994.48</v>
      </c>
      <c r="I71">
        <v>0</v>
      </c>
    </row>
    <row r="72" spans="1:9" x14ac:dyDescent="0.25">
      <c r="A72" t="s">
        <v>104</v>
      </c>
      <c r="B72" s="1">
        <v>45804</v>
      </c>
      <c r="C72" t="s">
        <v>26</v>
      </c>
      <c r="D72" t="s">
        <v>11</v>
      </c>
      <c r="E72" t="s">
        <v>19</v>
      </c>
      <c r="F72">
        <v>22226.25</v>
      </c>
      <c r="G72">
        <v>6</v>
      </c>
      <c r="H72">
        <v>1854.48</v>
      </c>
      <c r="I72">
        <v>0.25</v>
      </c>
    </row>
    <row r="73" spans="1:9" x14ac:dyDescent="0.25">
      <c r="A73" t="s">
        <v>105</v>
      </c>
      <c r="B73" s="1">
        <v>45752</v>
      </c>
      <c r="C73" t="s">
        <v>37</v>
      </c>
      <c r="D73" t="s">
        <v>18</v>
      </c>
      <c r="E73" t="s">
        <v>22</v>
      </c>
      <c r="F73">
        <v>47753.96</v>
      </c>
      <c r="G73">
        <v>3</v>
      </c>
      <c r="H73">
        <v>9158.1299999999992</v>
      </c>
      <c r="I73">
        <v>0.09</v>
      </c>
    </row>
    <row r="74" spans="1:9" x14ac:dyDescent="0.25">
      <c r="A74" t="s">
        <v>106</v>
      </c>
      <c r="B74" s="1">
        <v>45786</v>
      </c>
      <c r="C74" t="s">
        <v>17</v>
      </c>
      <c r="D74" t="s">
        <v>11</v>
      </c>
      <c r="E74" t="s">
        <v>35</v>
      </c>
      <c r="F74">
        <v>54843.14</v>
      </c>
      <c r="G74">
        <v>2</v>
      </c>
      <c r="H74">
        <v>12431.89</v>
      </c>
      <c r="I74">
        <v>0.26</v>
      </c>
    </row>
    <row r="75" spans="1:9" x14ac:dyDescent="0.25">
      <c r="A75" t="s">
        <v>107</v>
      </c>
      <c r="B75" s="1">
        <v>45786</v>
      </c>
      <c r="C75" t="s">
        <v>51</v>
      </c>
      <c r="D75" t="s">
        <v>18</v>
      </c>
      <c r="E75" t="s">
        <v>33</v>
      </c>
      <c r="F75">
        <v>66743.37</v>
      </c>
      <c r="G75">
        <v>20</v>
      </c>
      <c r="H75">
        <v>16265.9</v>
      </c>
      <c r="I75">
        <v>0.17</v>
      </c>
    </row>
    <row r="76" spans="1:9" x14ac:dyDescent="0.25">
      <c r="A76" t="s">
        <v>108</v>
      </c>
      <c r="B76" s="1">
        <v>45914</v>
      </c>
      <c r="C76" t="s">
        <v>53</v>
      </c>
      <c r="D76" t="s">
        <v>18</v>
      </c>
      <c r="E76" t="s">
        <v>35</v>
      </c>
      <c r="F76">
        <v>38007.74</v>
      </c>
      <c r="G76">
        <v>6</v>
      </c>
      <c r="H76">
        <v>4021.35</v>
      </c>
      <c r="I76">
        <v>0.16</v>
      </c>
    </row>
    <row r="77" spans="1:9" x14ac:dyDescent="0.25">
      <c r="A77" t="s">
        <v>109</v>
      </c>
      <c r="B77" s="1">
        <v>45826</v>
      </c>
      <c r="C77" t="s">
        <v>14</v>
      </c>
      <c r="D77" t="s">
        <v>11</v>
      </c>
      <c r="E77" t="s">
        <v>12</v>
      </c>
      <c r="F77">
        <v>18016.560000000001</v>
      </c>
      <c r="G77">
        <v>12</v>
      </c>
      <c r="H77">
        <v>1488.43</v>
      </c>
      <c r="I77">
        <v>0.21</v>
      </c>
    </row>
    <row r="78" spans="1:9" x14ac:dyDescent="0.25">
      <c r="A78" t="s">
        <v>110</v>
      </c>
      <c r="B78" s="1">
        <v>45942</v>
      </c>
      <c r="C78" t="s">
        <v>10</v>
      </c>
      <c r="D78" t="s">
        <v>11</v>
      </c>
      <c r="E78" t="s">
        <v>12</v>
      </c>
      <c r="F78">
        <v>1024.83</v>
      </c>
      <c r="G78">
        <v>13</v>
      </c>
      <c r="H78">
        <v>88.62</v>
      </c>
      <c r="I78">
        <v>0.2</v>
      </c>
    </row>
    <row r="79" spans="1:9" x14ac:dyDescent="0.25">
      <c r="A79" t="s">
        <v>111</v>
      </c>
      <c r="B79" s="1">
        <v>45874</v>
      </c>
      <c r="C79" t="s">
        <v>21</v>
      </c>
      <c r="D79" t="s">
        <v>18</v>
      </c>
      <c r="E79" t="s">
        <v>22</v>
      </c>
      <c r="F79">
        <v>8892.68</v>
      </c>
      <c r="G79">
        <v>1</v>
      </c>
      <c r="H79">
        <v>2455.66</v>
      </c>
      <c r="I79">
        <v>7.0000000000000007E-2</v>
      </c>
    </row>
    <row r="80" spans="1:9" x14ac:dyDescent="0.25">
      <c r="A80" t="s">
        <v>112</v>
      </c>
      <c r="B80" s="1">
        <v>45781</v>
      </c>
      <c r="C80" t="s">
        <v>53</v>
      </c>
      <c r="D80" t="s">
        <v>11</v>
      </c>
      <c r="E80" t="s">
        <v>29</v>
      </c>
      <c r="F80">
        <v>11848.34</v>
      </c>
      <c r="G80">
        <v>9</v>
      </c>
      <c r="H80">
        <v>1151.03</v>
      </c>
      <c r="I80">
        <v>0.25</v>
      </c>
    </row>
    <row r="81" spans="1:9" x14ac:dyDescent="0.25">
      <c r="A81" t="s">
        <v>113</v>
      </c>
      <c r="B81" s="1">
        <v>45942</v>
      </c>
      <c r="C81" t="s">
        <v>28</v>
      </c>
      <c r="D81" t="s">
        <v>11</v>
      </c>
      <c r="E81" t="s">
        <v>29</v>
      </c>
      <c r="F81">
        <v>46614.93</v>
      </c>
      <c r="G81">
        <v>11</v>
      </c>
      <c r="H81">
        <v>12399.72</v>
      </c>
      <c r="I81">
        <v>0.01</v>
      </c>
    </row>
    <row r="82" spans="1:9" x14ac:dyDescent="0.25">
      <c r="A82" t="s">
        <v>114</v>
      </c>
      <c r="B82" s="1">
        <v>45810</v>
      </c>
      <c r="C82" t="s">
        <v>10</v>
      </c>
      <c r="D82" t="s">
        <v>40</v>
      </c>
      <c r="E82" t="s">
        <v>12</v>
      </c>
      <c r="F82">
        <v>4168.68</v>
      </c>
      <c r="G82">
        <v>9</v>
      </c>
      <c r="H82">
        <v>824.6</v>
      </c>
      <c r="I82">
        <v>0.17</v>
      </c>
    </row>
    <row r="83" spans="1:9" x14ac:dyDescent="0.25">
      <c r="A83" t="s">
        <v>115</v>
      </c>
      <c r="B83" s="1">
        <v>45769</v>
      </c>
      <c r="C83" t="s">
        <v>24</v>
      </c>
      <c r="D83" t="s">
        <v>11</v>
      </c>
      <c r="E83" t="s">
        <v>29</v>
      </c>
      <c r="F83">
        <v>53026.7</v>
      </c>
      <c r="G83">
        <v>18</v>
      </c>
      <c r="H83">
        <v>12370.42</v>
      </c>
      <c r="I83">
        <v>0.33</v>
      </c>
    </row>
    <row r="84" spans="1:9" x14ac:dyDescent="0.25">
      <c r="A84" t="s">
        <v>116</v>
      </c>
      <c r="B84" s="1">
        <v>45764</v>
      </c>
      <c r="C84" t="s">
        <v>37</v>
      </c>
      <c r="D84" t="s">
        <v>18</v>
      </c>
      <c r="E84" t="s">
        <v>19</v>
      </c>
      <c r="F84">
        <v>36239.160000000003</v>
      </c>
      <c r="G84">
        <v>6</v>
      </c>
      <c r="H84">
        <v>6522.2</v>
      </c>
      <c r="I84">
        <v>0.21</v>
      </c>
    </row>
    <row r="85" spans="1:9" x14ac:dyDescent="0.25">
      <c r="A85" t="s">
        <v>117</v>
      </c>
      <c r="B85" s="1">
        <v>45923</v>
      </c>
      <c r="C85" t="s">
        <v>17</v>
      </c>
      <c r="D85" t="s">
        <v>40</v>
      </c>
      <c r="E85" t="s">
        <v>29</v>
      </c>
      <c r="F85">
        <v>2214.7399999999998</v>
      </c>
      <c r="G85">
        <v>19</v>
      </c>
      <c r="H85">
        <v>238.44</v>
      </c>
      <c r="I85">
        <v>0.12</v>
      </c>
    </row>
    <row r="86" spans="1:9" x14ac:dyDescent="0.25">
      <c r="A86" t="s">
        <v>118</v>
      </c>
      <c r="B86" s="1">
        <v>45681</v>
      </c>
      <c r="C86" t="s">
        <v>21</v>
      </c>
      <c r="D86" t="s">
        <v>40</v>
      </c>
      <c r="E86" t="s">
        <v>19</v>
      </c>
      <c r="F86">
        <v>42296.87</v>
      </c>
      <c r="G86">
        <v>12</v>
      </c>
      <c r="H86">
        <v>6631.34</v>
      </c>
      <c r="I86">
        <v>0.06</v>
      </c>
    </row>
    <row r="87" spans="1:9" x14ac:dyDescent="0.25">
      <c r="A87" t="s">
        <v>119</v>
      </c>
      <c r="B87" s="1">
        <v>46010</v>
      </c>
      <c r="C87" t="s">
        <v>21</v>
      </c>
      <c r="D87" t="s">
        <v>40</v>
      </c>
      <c r="E87" t="s">
        <v>29</v>
      </c>
      <c r="F87">
        <v>50428.75</v>
      </c>
      <c r="G87">
        <v>11</v>
      </c>
      <c r="H87">
        <v>10319.86</v>
      </c>
      <c r="I87">
        <v>0.15</v>
      </c>
    </row>
    <row r="88" spans="1:9" x14ac:dyDescent="0.25">
      <c r="A88" t="s">
        <v>120</v>
      </c>
      <c r="B88" s="1">
        <v>45678</v>
      </c>
      <c r="C88" t="s">
        <v>26</v>
      </c>
      <c r="D88" t="s">
        <v>15</v>
      </c>
      <c r="E88" t="s">
        <v>22</v>
      </c>
      <c r="F88">
        <v>29934.54</v>
      </c>
      <c r="G88">
        <v>18</v>
      </c>
      <c r="H88">
        <v>4371.2</v>
      </c>
      <c r="I88">
        <v>0.19</v>
      </c>
    </row>
    <row r="89" spans="1:9" x14ac:dyDescent="0.25">
      <c r="A89" t="s">
        <v>121</v>
      </c>
      <c r="B89" s="1">
        <v>45986</v>
      </c>
      <c r="C89" t="s">
        <v>17</v>
      </c>
      <c r="D89" t="s">
        <v>18</v>
      </c>
      <c r="E89" t="s">
        <v>35</v>
      </c>
      <c r="F89">
        <v>8776.57</v>
      </c>
      <c r="G89">
        <v>7</v>
      </c>
      <c r="H89">
        <v>1047.47</v>
      </c>
      <c r="I89">
        <v>0.34</v>
      </c>
    </row>
    <row r="90" spans="1:9" x14ac:dyDescent="0.25">
      <c r="A90" t="s">
        <v>122</v>
      </c>
      <c r="B90" s="1">
        <v>45690</v>
      </c>
      <c r="C90" t="s">
        <v>53</v>
      </c>
      <c r="D90" t="s">
        <v>15</v>
      </c>
      <c r="E90" t="s">
        <v>29</v>
      </c>
      <c r="F90">
        <v>28211.79</v>
      </c>
      <c r="G90">
        <v>11</v>
      </c>
      <c r="H90">
        <v>5281.84</v>
      </c>
      <c r="I90">
        <v>0.21</v>
      </c>
    </row>
    <row r="91" spans="1:9" x14ac:dyDescent="0.25">
      <c r="A91" t="s">
        <v>123</v>
      </c>
      <c r="B91" s="1">
        <v>45967</v>
      </c>
      <c r="C91" t="s">
        <v>28</v>
      </c>
      <c r="D91" t="s">
        <v>40</v>
      </c>
      <c r="E91" t="s">
        <v>35</v>
      </c>
      <c r="F91">
        <v>31179.08</v>
      </c>
      <c r="G91">
        <v>5</v>
      </c>
      <c r="H91">
        <v>8413.92</v>
      </c>
      <c r="I91">
        <v>0.05</v>
      </c>
    </row>
    <row r="92" spans="1:9" x14ac:dyDescent="0.25">
      <c r="A92" t="s">
        <v>124</v>
      </c>
      <c r="B92" s="1">
        <v>45724</v>
      </c>
      <c r="C92" t="s">
        <v>53</v>
      </c>
      <c r="D92" t="s">
        <v>15</v>
      </c>
      <c r="E92" t="s">
        <v>12</v>
      </c>
      <c r="F92">
        <v>38580.879999999997</v>
      </c>
      <c r="G92">
        <v>9</v>
      </c>
      <c r="H92">
        <v>6742.42</v>
      </c>
      <c r="I92">
        <v>0.05</v>
      </c>
    </row>
    <row r="93" spans="1:9" x14ac:dyDescent="0.25">
      <c r="A93" t="s">
        <v>125</v>
      </c>
      <c r="B93" s="1">
        <v>45940</v>
      </c>
      <c r="C93" t="s">
        <v>26</v>
      </c>
      <c r="D93" t="s">
        <v>40</v>
      </c>
      <c r="E93" t="s">
        <v>35</v>
      </c>
      <c r="F93">
        <v>33131.730000000003</v>
      </c>
      <c r="G93">
        <v>13</v>
      </c>
      <c r="H93">
        <v>9555.82</v>
      </c>
      <c r="I93">
        <v>0.03</v>
      </c>
    </row>
    <row r="94" spans="1:9" x14ac:dyDescent="0.25">
      <c r="A94" t="s">
        <v>126</v>
      </c>
      <c r="B94" s="1">
        <v>45673</v>
      </c>
      <c r="C94" t="s">
        <v>31</v>
      </c>
      <c r="D94" t="s">
        <v>18</v>
      </c>
      <c r="E94" t="s">
        <v>33</v>
      </c>
      <c r="F94">
        <v>36381.1</v>
      </c>
      <c r="G94">
        <v>3</v>
      </c>
      <c r="H94">
        <v>4904.33</v>
      </c>
      <c r="I94">
        <v>0.17</v>
      </c>
    </row>
    <row r="95" spans="1:9" x14ac:dyDescent="0.25">
      <c r="A95" t="s">
        <v>127</v>
      </c>
      <c r="B95" s="1">
        <v>45917</v>
      </c>
      <c r="C95" t="s">
        <v>42</v>
      </c>
      <c r="D95" t="s">
        <v>11</v>
      </c>
      <c r="E95" t="s">
        <v>22</v>
      </c>
      <c r="F95">
        <v>61029.919999999998</v>
      </c>
      <c r="G95">
        <v>3</v>
      </c>
      <c r="H95">
        <v>10027.48</v>
      </c>
      <c r="I95">
        <v>0.32</v>
      </c>
    </row>
    <row r="96" spans="1:9" x14ac:dyDescent="0.25">
      <c r="A96" t="s">
        <v>128</v>
      </c>
      <c r="B96" s="1">
        <v>45724</v>
      </c>
      <c r="C96" t="s">
        <v>28</v>
      </c>
      <c r="D96" t="s">
        <v>40</v>
      </c>
      <c r="E96" t="s">
        <v>19</v>
      </c>
      <c r="F96">
        <v>40634.589999999997</v>
      </c>
      <c r="G96">
        <v>2</v>
      </c>
      <c r="H96">
        <v>10672.36</v>
      </c>
      <c r="I96">
        <v>0.02</v>
      </c>
    </row>
    <row r="97" spans="1:9" x14ac:dyDescent="0.25">
      <c r="A97" t="s">
        <v>129</v>
      </c>
      <c r="B97" s="1">
        <v>45665</v>
      </c>
      <c r="C97" t="s">
        <v>51</v>
      </c>
      <c r="D97" t="s">
        <v>11</v>
      </c>
      <c r="E97" t="s">
        <v>19</v>
      </c>
      <c r="F97">
        <v>39824.879999999997</v>
      </c>
      <c r="G97">
        <v>15</v>
      </c>
      <c r="H97">
        <v>8687.67</v>
      </c>
      <c r="I97">
        <v>0.17</v>
      </c>
    </row>
    <row r="98" spans="1:9" x14ac:dyDescent="0.25">
      <c r="A98" t="s">
        <v>130</v>
      </c>
      <c r="B98" s="1">
        <v>45768</v>
      </c>
      <c r="C98" t="s">
        <v>46</v>
      </c>
      <c r="D98" t="s">
        <v>15</v>
      </c>
      <c r="E98" t="s">
        <v>12</v>
      </c>
      <c r="F98">
        <v>17292.53</v>
      </c>
      <c r="G98">
        <v>14</v>
      </c>
      <c r="H98">
        <v>2007.96</v>
      </c>
      <c r="I98">
        <v>0.06</v>
      </c>
    </row>
    <row r="99" spans="1:9" x14ac:dyDescent="0.25">
      <c r="A99" t="s">
        <v>131</v>
      </c>
      <c r="B99" s="1">
        <v>45939</v>
      </c>
      <c r="C99" t="s">
        <v>51</v>
      </c>
      <c r="D99" t="s">
        <v>40</v>
      </c>
      <c r="E99" t="s">
        <v>12</v>
      </c>
      <c r="F99">
        <v>2542.13</v>
      </c>
      <c r="G99">
        <v>2</v>
      </c>
      <c r="H99">
        <v>530.14</v>
      </c>
      <c r="I99">
        <v>0.11</v>
      </c>
    </row>
    <row r="100" spans="1:9" x14ac:dyDescent="0.25">
      <c r="A100" t="s">
        <v>132</v>
      </c>
      <c r="B100" s="1">
        <v>46009</v>
      </c>
      <c r="C100" t="s">
        <v>55</v>
      </c>
      <c r="D100" t="s">
        <v>18</v>
      </c>
      <c r="E100" t="s">
        <v>35</v>
      </c>
      <c r="F100">
        <v>70427.75</v>
      </c>
      <c r="G100">
        <v>16</v>
      </c>
      <c r="H100">
        <v>8194.0499999999993</v>
      </c>
      <c r="I100">
        <v>0.27</v>
      </c>
    </row>
    <row r="101" spans="1:9" x14ac:dyDescent="0.25">
      <c r="A101" t="s">
        <v>133</v>
      </c>
      <c r="B101" s="1">
        <v>45836</v>
      </c>
      <c r="C101" t="s">
        <v>46</v>
      </c>
      <c r="D101" t="s">
        <v>11</v>
      </c>
      <c r="E101" t="s">
        <v>19</v>
      </c>
      <c r="F101">
        <v>69145.31</v>
      </c>
      <c r="G101">
        <v>11</v>
      </c>
      <c r="H101">
        <v>9996.9599999999991</v>
      </c>
      <c r="I101">
        <v>0.2</v>
      </c>
    </row>
    <row r="102" spans="1:9" x14ac:dyDescent="0.25">
      <c r="A102" t="s">
        <v>134</v>
      </c>
      <c r="B102" s="1">
        <v>45760</v>
      </c>
      <c r="C102" t="s">
        <v>28</v>
      </c>
      <c r="D102" t="s">
        <v>18</v>
      </c>
      <c r="E102" t="s">
        <v>19</v>
      </c>
      <c r="F102">
        <v>20531.75</v>
      </c>
      <c r="G102">
        <v>17</v>
      </c>
      <c r="H102">
        <v>5228.76</v>
      </c>
      <c r="I102">
        <v>0.09</v>
      </c>
    </row>
    <row r="103" spans="1:9" x14ac:dyDescent="0.25">
      <c r="A103" t="s">
        <v>135</v>
      </c>
      <c r="B103" s="1">
        <v>45857</v>
      </c>
      <c r="C103" t="s">
        <v>46</v>
      </c>
      <c r="D103" t="s">
        <v>18</v>
      </c>
      <c r="E103" t="s">
        <v>19</v>
      </c>
      <c r="F103">
        <v>74231.600000000006</v>
      </c>
      <c r="G103">
        <v>20</v>
      </c>
      <c r="H103">
        <v>6199.99</v>
      </c>
      <c r="I103">
        <v>0.11</v>
      </c>
    </row>
    <row r="104" spans="1:9" x14ac:dyDescent="0.25">
      <c r="A104" t="s">
        <v>136</v>
      </c>
      <c r="B104" s="1">
        <v>45746</v>
      </c>
      <c r="C104" t="s">
        <v>37</v>
      </c>
      <c r="D104" t="s">
        <v>15</v>
      </c>
      <c r="E104" t="s">
        <v>19</v>
      </c>
      <c r="F104">
        <v>19507.63</v>
      </c>
      <c r="G104">
        <v>6</v>
      </c>
      <c r="H104">
        <v>4436.3100000000004</v>
      </c>
      <c r="I104">
        <v>0.32</v>
      </c>
    </row>
    <row r="105" spans="1:9" x14ac:dyDescent="0.25">
      <c r="A105" t="s">
        <v>137</v>
      </c>
      <c r="B105" s="1">
        <v>46022</v>
      </c>
      <c r="C105" t="s">
        <v>17</v>
      </c>
      <c r="D105" t="s">
        <v>15</v>
      </c>
      <c r="E105" t="s">
        <v>33</v>
      </c>
      <c r="F105">
        <v>40113.99</v>
      </c>
      <c r="G105">
        <v>8</v>
      </c>
      <c r="H105">
        <v>5991.96</v>
      </c>
      <c r="I105">
        <v>0.1</v>
      </c>
    </row>
    <row r="106" spans="1:9" x14ac:dyDescent="0.25">
      <c r="A106" t="s">
        <v>138</v>
      </c>
      <c r="B106" s="1">
        <v>45841</v>
      </c>
      <c r="C106" t="s">
        <v>10</v>
      </c>
      <c r="D106" t="s">
        <v>11</v>
      </c>
      <c r="E106" t="s">
        <v>35</v>
      </c>
      <c r="F106">
        <v>28715.91</v>
      </c>
      <c r="G106">
        <v>6</v>
      </c>
      <c r="H106">
        <v>6012.79</v>
      </c>
      <c r="I106">
        <v>0</v>
      </c>
    </row>
    <row r="107" spans="1:9" x14ac:dyDescent="0.25">
      <c r="A107" t="s">
        <v>139</v>
      </c>
      <c r="B107" s="1">
        <v>45895</v>
      </c>
      <c r="C107" t="s">
        <v>53</v>
      </c>
      <c r="D107" t="s">
        <v>18</v>
      </c>
      <c r="E107" t="s">
        <v>19</v>
      </c>
      <c r="F107">
        <v>24570.25</v>
      </c>
      <c r="G107">
        <v>6</v>
      </c>
      <c r="H107">
        <v>2744.86</v>
      </c>
      <c r="I107">
        <v>0.11</v>
      </c>
    </row>
    <row r="108" spans="1:9" x14ac:dyDescent="0.25">
      <c r="A108" t="s">
        <v>140</v>
      </c>
      <c r="B108" s="1">
        <v>45973</v>
      </c>
      <c r="C108" t="s">
        <v>42</v>
      </c>
      <c r="D108" t="s">
        <v>18</v>
      </c>
      <c r="E108" t="s">
        <v>12</v>
      </c>
      <c r="F108">
        <v>50439.64</v>
      </c>
      <c r="G108">
        <v>5</v>
      </c>
      <c r="H108">
        <v>7637.48</v>
      </c>
      <c r="I108">
        <v>0.28000000000000003</v>
      </c>
    </row>
    <row r="109" spans="1:9" x14ac:dyDescent="0.25">
      <c r="A109" t="s">
        <v>141</v>
      </c>
      <c r="B109" s="1">
        <v>45914</v>
      </c>
      <c r="C109" t="s">
        <v>21</v>
      </c>
      <c r="D109" t="s">
        <v>18</v>
      </c>
      <c r="E109" t="s">
        <v>35</v>
      </c>
      <c r="F109">
        <v>58212.98</v>
      </c>
      <c r="G109">
        <v>18</v>
      </c>
      <c r="H109">
        <v>16240</v>
      </c>
      <c r="I109">
        <v>0.11</v>
      </c>
    </row>
    <row r="110" spans="1:9" x14ac:dyDescent="0.25">
      <c r="A110" t="s">
        <v>142</v>
      </c>
      <c r="B110" s="1">
        <v>46018</v>
      </c>
      <c r="C110" t="s">
        <v>21</v>
      </c>
      <c r="D110" t="s">
        <v>15</v>
      </c>
      <c r="E110" t="s">
        <v>33</v>
      </c>
      <c r="F110">
        <v>73096.12</v>
      </c>
      <c r="G110">
        <v>8</v>
      </c>
      <c r="H110">
        <v>9892.64</v>
      </c>
      <c r="I110">
        <v>0.28000000000000003</v>
      </c>
    </row>
    <row r="111" spans="1:9" x14ac:dyDescent="0.25">
      <c r="A111" t="s">
        <v>143</v>
      </c>
      <c r="B111" s="1">
        <v>45783</v>
      </c>
      <c r="C111" t="s">
        <v>46</v>
      </c>
      <c r="D111" t="s">
        <v>18</v>
      </c>
      <c r="E111" t="s">
        <v>33</v>
      </c>
      <c r="F111">
        <v>26243.46</v>
      </c>
      <c r="G111">
        <v>6</v>
      </c>
      <c r="H111">
        <v>2842.18</v>
      </c>
      <c r="I111">
        <v>0.02</v>
      </c>
    </row>
    <row r="112" spans="1:9" x14ac:dyDescent="0.25">
      <c r="A112" t="s">
        <v>144</v>
      </c>
      <c r="B112" s="1">
        <v>45980</v>
      </c>
      <c r="C112" t="s">
        <v>51</v>
      </c>
      <c r="D112" t="s">
        <v>18</v>
      </c>
      <c r="E112" t="s">
        <v>33</v>
      </c>
      <c r="F112">
        <v>54952.24</v>
      </c>
      <c r="G112">
        <v>9</v>
      </c>
      <c r="H112">
        <v>9816.08</v>
      </c>
      <c r="I112">
        <v>0.15</v>
      </c>
    </row>
    <row r="113" spans="1:9" x14ac:dyDescent="0.25">
      <c r="A113" t="s">
        <v>145</v>
      </c>
      <c r="B113" s="1">
        <v>45751</v>
      </c>
      <c r="C113" t="s">
        <v>28</v>
      </c>
      <c r="D113" t="s">
        <v>18</v>
      </c>
      <c r="E113" t="s">
        <v>12</v>
      </c>
      <c r="F113">
        <v>65543.19</v>
      </c>
      <c r="G113">
        <v>14</v>
      </c>
      <c r="H113">
        <v>15130.23</v>
      </c>
      <c r="I113">
        <v>0.11</v>
      </c>
    </row>
    <row r="114" spans="1:9" x14ac:dyDescent="0.25">
      <c r="A114" t="s">
        <v>146</v>
      </c>
      <c r="B114" s="1">
        <v>45744</v>
      </c>
      <c r="C114" t="s">
        <v>76</v>
      </c>
      <c r="D114" t="s">
        <v>11</v>
      </c>
      <c r="E114" t="s">
        <v>22</v>
      </c>
      <c r="F114">
        <v>43084.54</v>
      </c>
      <c r="G114">
        <v>5</v>
      </c>
      <c r="H114">
        <v>10718.89</v>
      </c>
      <c r="I114">
        <v>0.33</v>
      </c>
    </row>
    <row r="115" spans="1:9" x14ac:dyDescent="0.25">
      <c r="A115" t="s">
        <v>147</v>
      </c>
      <c r="B115" s="1">
        <v>45895</v>
      </c>
      <c r="C115" t="s">
        <v>26</v>
      </c>
      <c r="D115" t="s">
        <v>18</v>
      </c>
      <c r="E115" t="s">
        <v>19</v>
      </c>
      <c r="F115">
        <v>39382.53</v>
      </c>
      <c r="G115">
        <v>20</v>
      </c>
      <c r="H115">
        <v>6917.56</v>
      </c>
      <c r="I115">
        <v>0.21</v>
      </c>
    </row>
    <row r="116" spans="1:9" x14ac:dyDescent="0.25">
      <c r="A116" t="s">
        <v>148</v>
      </c>
      <c r="B116" s="1">
        <v>45972</v>
      </c>
      <c r="C116" t="s">
        <v>51</v>
      </c>
      <c r="D116" t="s">
        <v>15</v>
      </c>
      <c r="E116" t="s">
        <v>22</v>
      </c>
      <c r="F116">
        <v>3476.1</v>
      </c>
      <c r="G116">
        <v>15</v>
      </c>
      <c r="H116">
        <v>551.27</v>
      </c>
      <c r="I116">
        <v>7.0000000000000007E-2</v>
      </c>
    </row>
    <row r="117" spans="1:9" x14ac:dyDescent="0.25">
      <c r="A117" t="s">
        <v>149</v>
      </c>
      <c r="B117" s="1">
        <v>45663</v>
      </c>
      <c r="C117" t="s">
        <v>10</v>
      </c>
      <c r="D117" t="s">
        <v>18</v>
      </c>
      <c r="E117" t="s">
        <v>35</v>
      </c>
      <c r="F117">
        <v>62298.12</v>
      </c>
      <c r="G117">
        <v>7</v>
      </c>
      <c r="H117">
        <v>15616.84</v>
      </c>
      <c r="I117">
        <v>0.04</v>
      </c>
    </row>
    <row r="118" spans="1:9" x14ac:dyDescent="0.25">
      <c r="A118" t="s">
        <v>150</v>
      </c>
      <c r="B118" s="1">
        <v>45938</v>
      </c>
      <c r="C118" t="s">
        <v>10</v>
      </c>
      <c r="D118" t="s">
        <v>15</v>
      </c>
      <c r="E118" t="s">
        <v>29</v>
      </c>
      <c r="F118">
        <v>10348.6</v>
      </c>
      <c r="G118">
        <v>7</v>
      </c>
      <c r="H118">
        <v>1414.03</v>
      </c>
      <c r="I118">
        <v>0.05</v>
      </c>
    </row>
    <row r="119" spans="1:9" x14ac:dyDescent="0.25">
      <c r="A119" t="s">
        <v>151</v>
      </c>
      <c r="B119" s="1">
        <v>45787</v>
      </c>
      <c r="C119" t="s">
        <v>42</v>
      </c>
      <c r="D119" t="s">
        <v>40</v>
      </c>
      <c r="E119" t="s">
        <v>19</v>
      </c>
      <c r="F119">
        <v>73212.78</v>
      </c>
      <c r="G119">
        <v>2</v>
      </c>
      <c r="H119">
        <v>4926.8999999999996</v>
      </c>
      <c r="I119">
        <v>0.27</v>
      </c>
    </row>
    <row r="120" spans="1:9" x14ac:dyDescent="0.25">
      <c r="A120" t="s">
        <v>152</v>
      </c>
      <c r="B120" s="1">
        <v>45770</v>
      </c>
      <c r="C120" t="s">
        <v>76</v>
      </c>
      <c r="D120" t="s">
        <v>11</v>
      </c>
      <c r="E120" t="s">
        <v>33</v>
      </c>
      <c r="F120">
        <v>39262.910000000003</v>
      </c>
      <c r="G120">
        <v>1</v>
      </c>
      <c r="H120">
        <v>5648.71</v>
      </c>
      <c r="I120">
        <v>0.06</v>
      </c>
    </row>
    <row r="121" spans="1:9" x14ac:dyDescent="0.25">
      <c r="A121" t="s">
        <v>153</v>
      </c>
      <c r="B121" s="1">
        <v>45838</v>
      </c>
      <c r="C121" t="s">
        <v>17</v>
      </c>
      <c r="D121" t="s">
        <v>40</v>
      </c>
      <c r="E121" t="s">
        <v>35</v>
      </c>
      <c r="F121">
        <v>68669.61</v>
      </c>
      <c r="G121">
        <v>11</v>
      </c>
      <c r="H121">
        <v>6178.77</v>
      </c>
      <c r="I121">
        <v>0.09</v>
      </c>
    </row>
    <row r="122" spans="1:9" x14ac:dyDescent="0.25">
      <c r="A122" t="s">
        <v>154</v>
      </c>
      <c r="B122" s="1">
        <v>45889</v>
      </c>
      <c r="C122" t="s">
        <v>21</v>
      </c>
      <c r="D122" t="s">
        <v>11</v>
      </c>
      <c r="E122" t="s">
        <v>12</v>
      </c>
      <c r="F122">
        <v>71674.11</v>
      </c>
      <c r="G122">
        <v>7</v>
      </c>
      <c r="H122">
        <v>9890.09</v>
      </c>
      <c r="I122">
        <v>0.28000000000000003</v>
      </c>
    </row>
    <row r="123" spans="1:9" x14ac:dyDescent="0.25">
      <c r="A123" t="s">
        <v>155</v>
      </c>
      <c r="B123" s="1">
        <v>45802</v>
      </c>
      <c r="C123" t="s">
        <v>37</v>
      </c>
      <c r="D123" t="s">
        <v>40</v>
      </c>
      <c r="E123" t="s">
        <v>35</v>
      </c>
      <c r="F123">
        <v>14777.77</v>
      </c>
      <c r="G123">
        <v>16</v>
      </c>
      <c r="H123">
        <v>2103.17</v>
      </c>
      <c r="I123">
        <v>0.12</v>
      </c>
    </row>
    <row r="124" spans="1:9" x14ac:dyDescent="0.25">
      <c r="A124" t="s">
        <v>156</v>
      </c>
      <c r="B124" s="1">
        <v>45988</v>
      </c>
      <c r="C124" t="s">
        <v>51</v>
      </c>
      <c r="D124" t="s">
        <v>18</v>
      </c>
      <c r="E124" t="s">
        <v>29</v>
      </c>
      <c r="F124">
        <v>35744.99</v>
      </c>
      <c r="G124">
        <v>9</v>
      </c>
      <c r="H124">
        <v>3200.47</v>
      </c>
      <c r="I124">
        <v>0.19</v>
      </c>
    </row>
    <row r="125" spans="1:9" x14ac:dyDescent="0.25">
      <c r="A125" t="s">
        <v>157</v>
      </c>
      <c r="B125" s="1">
        <v>45713</v>
      </c>
      <c r="C125" t="s">
        <v>31</v>
      </c>
      <c r="D125" t="s">
        <v>15</v>
      </c>
      <c r="E125" t="s">
        <v>22</v>
      </c>
      <c r="F125">
        <v>53668.33</v>
      </c>
      <c r="G125">
        <v>12</v>
      </c>
      <c r="H125">
        <v>13377.7</v>
      </c>
      <c r="I125">
        <v>0.24</v>
      </c>
    </row>
    <row r="126" spans="1:9" x14ac:dyDescent="0.25">
      <c r="A126" t="s">
        <v>158</v>
      </c>
      <c r="B126" s="1">
        <v>45659</v>
      </c>
      <c r="C126" t="s">
        <v>26</v>
      </c>
      <c r="D126" t="s">
        <v>40</v>
      </c>
      <c r="E126" t="s">
        <v>35</v>
      </c>
      <c r="F126">
        <v>28038.38</v>
      </c>
      <c r="G126">
        <v>11</v>
      </c>
      <c r="H126">
        <v>7175.3</v>
      </c>
      <c r="I126">
        <v>0.24</v>
      </c>
    </row>
    <row r="127" spans="1:9" x14ac:dyDescent="0.25">
      <c r="A127" t="s">
        <v>159</v>
      </c>
      <c r="B127" s="1">
        <v>45793</v>
      </c>
      <c r="C127" t="s">
        <v>10</v>
      </c>
      <c r="D127" t="s">
        <v>11</v>
      </c>
      <c r="E127" t="s">
        <v>12</v>
      </c>
      <c r="F127">
        <v>62262.69</v>
      </c>
      <c r="G127">
        <v>10</v>
      </c>
      <c r="H127">
        <v>15489.42</v>
      </c>
      <c r="I127">
        <v>0.28999999999999998</v>
      </c>
    </row>
    <row r="128" spans="1:9" x14ac:dyDescent="0.25">
      <c r="A128" t="s">
        <v>160</v>
      </c>
      <c r="B128" s="1">
        <v>45698</v>
      </c>
      <c r="C128" t="s">
        <v>21</v>
      </c>
      <c r="D128" t="s">
        <v>18</v>
      </c>
      <c r="E128" t="s">
        <v>29</v>
      </c>
      <c r="F128">
        <v>59386.59</v>
      </c>
      <c r="G128">
        <v>7</v>
      </c>
      <c r="H128">
        <v>10199.81</v>
      </c>
      <c r="I128">
        <v>0.04</v>
      </c>
    </row>
    <row r="129" spans="1:9" x14ac:dyDescent="0.25">
      <c r="A129" t="s">
        <v>161</v>
      </c>
      <c r="B129" s="1">
        <v>45822</v>
      </c>
      <c r="C129" t="s">
        <v>55</v>
      </c>
      <c r="D129" t="s">
        <v>11</v>
      </c>
      <c r="E129" t="s">
        <v>29</v>
      </c>
      <c r="F129">
        <v>62993.24</v>
      </c>
      <c r="G129">
        <v>18</v>
      </c>
      <c r="H129">
        <v>12531.95</v>
      </c>
      <c r="I129">
        <v>0.09</v>
      </c>
    </row>
    <row r="130" spans="1:9" x14ac:dyDescent="0.25">
      <c r="A130" t="s">
        <v>162</v>
      </c>
      <c r="B130" s="1">
        <v>45743</v>
      </c>
      <c r="C130" t="s">
        <v>17</v>
      </c>
      <c r="D130" t="s">
        <v>15</v>
      </c>
      <c r="E130" t="s">
        <v>35</v>
      </c>
      <c r="F130">
        <v>24264.2</v>
      </c>
      <c r="G130">
        <v>13</v>
      </c>
      <c r="H130">
        <v>5666.53</v>
      </c>
      <c r="I130">
        <v>0.09</v>
      </c>
    </row>
    <row r="131" spans="1:9" x14ac:dyDescent="0.25">
      <c r="A131" t="s">
        <v>163</v>
      </c>
      <c r="B131" s="1">
        <v>45749</v>
      </c>
      <c r="C131" t="s">
        <v>26</v>
      </c>
      <c r="D131" t="s">
        <v>15</v>
      </c>
      <c r="E131" t="s">
        <v>19</v>
      </c>
      <c r="F131">
        <v>5573.07</v>
      </c>
      <c r="G131">
        <v>2</v>
      </c>
      <c r="H131">
        <v>859.41</v>
      </c>
      <c r="I131">
        <v>0.11</v>
      </c>
    </row>
    <row r="132" spans="1:9" x14ac:dyDescent="0.25">
      <c r="A132" t="s">
        <v>164</v>
      </c>
      <c r="B132" s="1">
        <v>45732</v>
      </c>
      <c r="C132" t="s">
        <v>42</v>
      </c>
      <c r="D132" t="s">
        <v>11</v>
      </c>
      <c r="E132" t="s">
        <v>35</v>
      </c>
      <c r="F132">
        <v>49168.58</v>
      </c>
      <c r="G132">
        <v>19</v>
      </c>
      <c r="H132">
        <v>7350.9</v>
      </c>
      <c r="I132">
        <v>0.09</v>
      </c>
    </row>
    <row r="133" spans="1:9" x14ac:dyDescent="0.25">
      <c r="A133" t="s">
        <v>165</v>
      </c>
      <c r="B133" s="1">
        <v>45780</v>
      </c>
      <c r="C133" t="s">
        <v>42</v>
      </c>
      <c r="D133" t="s">
        <v>11</v>
      </c>
      <c r="E133" t="s">
        <v>35</v>
      </c>
      <c r="F133">
        <v>32938.07</v>
      </c>
      <c r="G133">
        <v>4</v>
      </c>
      <c r="H133">
        <v>2413.8000000000002</v>
      </c>
      <c r="I133">
        <v>0.28999999999999998</v>
      </c>
    </row>
    <row r="134" spans="1:9" x14ac:dyDescent="0.25">
      <c r="A134" t="s">
        <v>166</v>
      </c>
      <c r="B134" s="1">
        <v>45944</v>
      </c>
      <c r="C134" t="s">
        <v>26</v>
      </c>
      <c r="D134" t="s">
        <v>15</v>
      </c>
      <c r="E134" t="s">
        <v>19</v>
      </c>
      <c r="F134">
        <v>44785.05</v>
      </c>
      <c r="G134">
        <v>7</v>
      </c>
      <c r="H134">
        <v>7183.23</v>
      </c>
      <c r="I134">
        <v>0.11</v>
      </c>
    </row>
    <row r="135" spans="1:9" x14ac:dyDescent="0.25">
      <c r="A135" t="s">
        <v>167</v>
      </c>
      <c r="B135" s="1">
        <v>45729</v>
      </c>
      <c r="C135" t="s">
        <v>76</v>
      </c>
      <c r="D135" t="s">
        <v>11</v>
      </c>
      <c r="E135" t="s">
        <v>33</v>
      </c>
      <c r="F135">
        <v>69798.7</v>
      </c>
      <c r="G135">
        <v>17</v>
      </c>
      <c r="H135">
        <v>11116.58</v>
      </c>
      <c r="I135">
        <v>0.16</v>
      </c>
    </row>
    <row r="136" spans="1:9" x14ac:dyDescent="0.25">
      <c r="A136" t="s">
        <v>168</v>
      </c>
      <c r="B136" s="1">
        <v>45758</v>
      </c>
      <c r="C136" t="s">
        <v>51</v>
      </c>
      <c r="D136" t="s">
        <v>11</v>
      </c>
      <c r="E136" t="s">
        <v>35</v>
      </c>
      <c r="F136">
        <v>39374.99</v>
      </c>
      <c r="G136">
        <v>7</v>
      </c>
      <c r="H136">
        <v>9757.7800000000007</v>
      </c>
      <c r="I136">
        <v>0.31</v>
      </c>
    </row>
    <row r="137" spans="1:9" x14ac:dyDescent="0.25">
      <c r="A137" t="s">
        <v>169</v>
      </c>
      <c r="B137" s="1">
        <v>45763</v>
      </c>
      <c r="C137" t="s">
        <v>21</v>
      </c>
      <c r="D137" t="s">
        <v>15</v>
      </c>
      <c r="E137" t="s">
        <v>33</v>
      </c>
      <c r="F137">
        <v>3316.89</v>
      </c>
      <c r="G137">
        <v>7</v>
      </c>
      <c r="H137">
        <v>844.75</v>
      </c>
      <c r="I137">
        <v>0.1</v>
      </c>
    </row>
    <row r="138" spans="1:9" x14ac:dyDescent="0.25">
      <c r="A138" t="s">
        <v>170</v>
      </c>
      <c r="B138" s="1">
        <v>45665</v>
      </c>
      <c r="C138" t="s">
        <v>21</v>
      </c>
      <c r="D138" t="s">
        <v>15</v>
      </c>
      <c r="E138" t="s">
        <v>33</v>
      </c>
      <c r="F138">
        <v>2162.41</v>
      </c>
      <c r="G138">
        <v>3</v>
      </c>
      <c r="H138">
        <v>233.05</v>
      </c>
      <c r="I138">
        <v>0.04</v>
      </c>
    </row>
    <row r="139" spans="1:9" x14ac:dyDescent="0.25">
      <c r="A139" t="s">
        <v>171</v>
      </c>
      <c r="B139" s="1">
        <v>45667</v>
      </c>
      <c r="C139" t="s">
        <v>46</v>
      </c>
      <c r="D139" t="s">
        <v>40</v>
      </c>
      <c r="E139" t="s">
        <v>35</v>
      </c>
      <c r="F139">
        <v>58664.12</v>
      </c>
      <c r="G139">
        <v>6</v>
      </c>
      <c r="H139">
        <v>11492.62</v>
      </c>
      <c r="I139">
        <v>0.16</v>
      </c>
    </row>
    <row r="140" spans="1:9" x14ac:dyDescent="0.25">
      <c r="A140" t="s">
        <v>172</v>
      </c>
      <c r="B140" s="1">
        <v>45877</v>
      </c>
      <c r="C140" t="s">
        <v>26</v>
      </c>
      <c r="D140" t="s">
        <v>18</v>
      </c>
      <c r="E140" t="s">
        <v>33</v>
      </c>
      <c r="F140">
        <v>38930.74</v>
      </c>
      <c r="G140">
        <v>11</v>
      </c>
      <c r="H140">
        <v>4784.38</v>
      </c>
      <c r="I140">
        <v>0.32</v>
      </c>
    </row>
    <row r="141" spans="1:9" x14ac:dyDescent="0.25">
      <c r="A141" t="s">
        <v>173</v>
      </c>
      <c r="B141" s="1">
        <v>46010</v>
      </c>
      <c r="C141" t="s">
        <v>53</v>
      </c>
      <c r="D141" t="s">
        <v>40</v>
      </c>
      <c r="E141" t="s">
        <v>12</v>
      </c>
      <c r="F141">
        <v>4160.53</v>
      </c>
      <c r="G141">
        <v>7</v>
      </c>
      <c r="H141">
        <v>303.33</v>
      </c>
      <c r="I141">
        <v>0.24</v>
      </c>
    </row>
    <row r="142" spans="1:9" x14ac:dyDescent="0.25">
      <c r="A142" t="s">
        <v>174</v>
      </c>
      <c r="B142" s="1">
        <v>45940</v>
      </c>
      <c r="C142" t="s">
        <v>24</v>
      </c>
      <c r="D142" t="s">
        <v>11</v>
      </c>
      <c r="E142" t="s">
        <v>12</v>
      </c>
      <c r="F142">
        <v>35571.08</v>
      </c>
      <c r="G142">
        <v>9</v>
      </c>
      <c r="H142">
        <v>4918.22</v>
      </c>
      <c r="I142">
        <v>0.3</v>
      </c>
    </row>
    <row r="143" spans="1:9" x14ac:dyDescent="0.25">
      <c r="A143" t="s">
        <v>175</v>
      </c>
      <c r="B143" s="1">
        <v>45766</v>
      </c>
      <c r="C143" t="s">
        <v>21</v>
      </c>
      <c r="D143" t="s">
        <v>15</v>
      </c>
      <c r="E143" t="s">
        <v>33</v>
      </c>
      <c r="F143">
        <v>36555.51</v>
      </c>
      <c r="G143">
        <v>4</v>
      </c>
      <c r="H143">
        <v>3456.02</v>
      </c>
      <c r="I143">
        <v>0.28000000000000003</v>
      </c>
    </row>
    <row r="144" spans="1:9" x14ac:dyDescent="0.25">
      <c r="A144" t="s">
        <v>176</v>
      </c>
      <c r="B144" s="1">
        <v>45724</v>
      </c>
      <c r="C144" t="s">
        <v>26</v>
      </c>
      <c r="D144" t="s">
        <v>18</v>
      </c>
      <c r="E144" t="s">
        <v>29</v>
      </c>
      <c r="F144">
        <v>44509.8</v>
      </c>
      <c r="G144">
        <v>9</v>
      </c>
      <c r="H144">
        <v>6406.14</v>
      </c>
      <c r="I144">
        <v>0.03</v>
      </c>
    </row>
    <row r="145" spans="1:9" x14ac:dyDescent="0.25">
      <c r="A145" t="s">
        <v>177</v>
      </c>
      <c r="B145" s="1">
        <v>45922</v>
      </c>
      <c r="C145" t="s">
        <v>37</v>
      </c>
      <c r="D145" t="s">
        <v>15</v>
      </c>
      <c r="E145" t="s">
        <v>19</v>
      </c>
      <c r="F145">
        <v>46660.27</v>
      </c>
      <c r="G145">
        <v>20</v>
      </c>
      <c r="H145">
        <v>6074.06</v>
      </c>
      <c r="I145">
        <v>0.16</v>
      </c>
    </row>
    <row r="146" spans="1:9" x14ac:dyDescent="0.25">
      <c r="A146" t="s">
        <v>178</v>
      </c>
      <c r="B146" s="1">
        <v>45953</v>
      </c>
      <c r="C146" t="s">
        <v>53</v>
      </c>
      <c r="D146" t="s">
        <v>18</v>
      </c>
      <c r="E146" t="s">
        <v>33</v>
      </c>
      <c r="F146">
        <v>42412.53</v>
      </c>
      <c r="G146">
        <v>15</v>
      </c>
      <c r="H146">
        <v>10953.7</v>
      </c>
      <c r="I146">
        <v>0.19</v>
      </c>
    </row>
    <row r="147" spans="1:9" x14ac:dyDescent="0.25">
      <c r="A147" t="s">
        <v>179</v>
      </c>
      <c r="B147" s="1">
        <v>45902</v>
      </c>
      <c r="C147" t="s">
        <v>37</v>
      </c>
      <c r="D147" t="s">
        <v>11</v>
      </c>
      <c r="E147" t="s">
        <v>12</v>
      </c>
      <c r="F147">
        <v>45983.88</v>
      </c>
      <c r="G147">
        <v>4</v>
      </c>
      <c r="H147">
        <v>3088.69</v>
      </c>
      <c r="I147">
        <v>0.31</v>
      </c>
    </row>
    <row r="148" spans="1:9" x14ac:dyDescent="0.25">
      <c r="A148" t="s">
        <v>180</v>
      </c>
      <c r="B148" s="1">
        <v>45986</v>
      </c>
      <c r="C148" t="s">
        <v>21</v>
      </c>
      <c r="D148" t="s">
        <v>11</v>
      </c>
      <c r="E148" t="s">
        <v>12</v>
      </c>
      <c r="F148">
        <v>18427.29</v>
      </c>
      <c r="G148">
        <v>17</v>
      </c>
      <c r="H148">
        <v>3890.25</v>
      </c>
      <c r="I148">
        <v>0.04</v>
      </c>
    </row>
    <row r="149" spans="1:9" x14ac:dyDescent="0.25">
      <c r="A149" t="s">
        <v>181</v>
      </c>
      <c r="B149" s="1">
        <v>45995</v>
      </c>
      <c r="C149" t="s">
        <v>53</v>
      </c>
      <c r="D149" t="s">
        <v>15</v>
      </c>
      <c r="E149" t="s">
        <v>35</v>
      </c>
      <c r="F149">
        <v>29501.56</v>
      </c>
      <c r="G149">
        <v>12</v>
      </c>
      <c r="H149">
        <v>5108.9799999999996</v>
      </c>
      <c r="I149">
        <v>0.31</v>
      </c>
    </row>
    <row r="150" spans="1:9" x14ac:dyDescent="0.25">
      <c r="A150" t="s">
        <v>182</v>
      </c>
      <c r="B150" s="1">
        <v>45694</v>
      </c>
      <c r="C150" t="s">
        <v>76</v>
      </c>
      <c r="D150" t="s">
        <v>11</v>
      </c>
      <c r="E150" t="s">
        <v>12</v>
      </c>
      <c r="F150">
        <v>56255.28</v>
      </c>
      <c r="G150">
        <v>12</v>
      </c>
      <c r="H150">
        <v>6942.47</v>
      </c>
      <c r="I150">
        <v>0.05</v>
      </c>
    </row>
    <row r="151" spans="1:9" x14ac:dyDescent="0.25">
      <c r="A151" t="s">
        <v>183</v>
      </c>
      <c r="B151" s="1">
        <v>45904</v>
      </c>
      <c r="C151" t="s">
        <v>24</v>
      </c>
      <c r="D151" t="s">
        <v>18</v>
      </c>
      <c r="E151" t="s">
        <v>33</v>
      </c>
      <c r="F151">
        <v>26409.49</v>
      </c>
      <c r="G151">
        <v>8</v>
      </c>
      <c r="H151">
        <v>3833.05</v>
      </c>
      <c r="I151">
        <v>7.0000000000000007E-2</v>
      </c>
    </row>
    <row r="152" spans="1:9" x14ac:dyDescent="0.25">
      <c r="A152" t="s">
        <v>184</v>
      </c>
      <c r="B152" s="1">
        <v>45771</v>
      </c>
      <c r="C152" t="s">
        <v>76</v>
      </c>
      <c r="D152" t="s">
        <v>15</v>
      </c>
      <c r="E152" t="s">
        <v>19</v>
      </c>
      <c r="F152">
        <v>60677.96</v>
      </c>
      <c r="G152">
        <v>19</v>
      </c>
      <c r="H152">
        <v>9080.11</v>
      </c>
      <c r="I152">
        <v>0.04</v>
      </c>
    </row>
    <row r="153" spans="1:9" x14ac:dyDescent="0.25">
      <c r="A153" t="s">
        <v>185</v>
      </c>
      <c r="B153" s="1">
        <v>45789</v>
      </c>
      <c r="C153" t="s">
        <v>51</v>
      </c>
      <c r="D153" t="s">
        <v>11</v>
      </c>
      <c r="E153" t="s">
        <v>33</v>
      </c>
      <c r="F153">
        <v>69465.72</v>
      </c>
      <c r="G153">
        <v>10</v>
      </c>
      <c r="H153">
        <v>11486.47</v>
      </c>
      <c r="I153">
        <v>0.26</v>
      </c>
    </row>
    <row r="154" spans="1:9" x14ac:dyDescent="0.25">
      <c r="A154" t="s">
        <v>186</v>
      </c>
      <c r="B154" s="1">
        <v>45801</v>
      </c>
      <c r="C154" t="s">
        <v>42</v>
      </c>
      <c r="D154" t="s">
        <v>40</v>
      </c>
      <c r="E154" t="s">
        <v>29</v>
      </c>
      <c r="F154">
        <v>58031.01</v>
      </c>
      <c r="G154">
        <v>13</v>
      </c>
      <c r="H154">
        <v>10756.87</v>
      </c>
      <c r="I154">
        <v>0.26</v>
      </c>
    </row>
    <row r="155" spans="1:9" x14ac:dyDescent="0.25">
      <c r="A155" t="s">
        <v>187</v>
      </c>
      <c r="B155" s="1">
        <v>45797</v>
      </c>
      <c r="C155" t="s">
        <v>14</v>
      </c>
      <c r="D155" t="s">
        <v>15</v>
      </c>
      <c r="E155" t="s">
        <v>33</v>
      </c>
      <c r="F155">
        <v>29795.439999999999</v>
      </c>
      <c r="G155">
        <v>17</v>
      </c>
      <c r="H155">
        <v>5248.2</v>
      </c>
      <c r="I155">
        <v>0.3</v>
      </c>
    </row>
    <row r="156" spans="1:9" x14ac:dyDescent="0.25">
      <c r="A156" t="s">
        <v>188</v>
      </c>
      <c r="B156" s="1">
        <v>45932</v>
      </c>
      <c r="C156" t="s">
        <v>24</v>
      </c>
      <c r="D156" t="s">
        <v>11</v>
      </c>
      <c r="E156" t="s">
        <v>33</v>
      </c>
      <c r="F156">
        <v>62244.56</v>
      </c>
      <c r="G156">
        <v>17</v>
      </c>
      <c r="H156">
        <v>7153.49</v>
      </c>
      <c r="I156">
        <v>0.04</v>
      </c>
    </row>
    <row r="157" spans="1:9" x14ac:dyDescent="0.25">
      <c r="A157" t="s">
        <v>189</v>
      </c>
      <c r="B157" s="1">
        <v>45880</v>
      </c>
      <c r="C157" t="s">
        <v>53</v>
      </c>
      <c r="D157" t="s">
        <v>18</v>
      </c>
      <c r="E157" t="s">
        <v>12</v>
      </c>
      <c r="F157">
        <v>65920.06</v>
      </c>
      <c r="G157">
        <v>16</v>
      </c>
      <c r="H157">
        <v>11204.9</v>
      </c>
      <c r="I157">
        <v>0.35</v>
      </c>
    </row>
    <row r="158" spans="1:9" x14ac:dyDescent="0.25">
      <c r="A158" t="s">
        <v>190</v>
      </c>
      <c r="B158" s="1">
        <v>45890</v>
      </c>
      <c r="C158" t="s">
        <v>76</v>
      </c>
      <c r="D158" t="s">
        <v>40</v>
      </c>
      <c r="E158" t="s">
        <v>33</v>
      </c>
      <c r="F158">
        <v>26511.64</v>
      </c>
      <c r="G158">
        <v>4</v>
      </c>
      <c r="H158">
        <v>1828.09</v>
      </c>
      <c r="I158">
        <v>0.24</v>
      </c>
    </row>
    <row r="159" spans="1:9" x14ac:dyDescent="0.25">
      <c r="A159" t="s">
        <v>191</v>
      </c>
      <c r="B159" s="1">
        <v>45719</v>
      </c>
      <c r="C159" t="s">
        <v>37</v>
      </c>
      <c r="D159" t="s">
        <v>11</v>
      </c>
      <c r="E159" t="s">
        <v>19</v>
      </c>
      <c r="F159">
        <v>19058.2</v>
      </c>
      <c r="G159">
        <v>10</v>
      </c>
      <c r="H159">
        <v>1815.25</v>
      </c>
      <c r="I159">
        <v>0.31</v>
      </c>
    </row>
    <row r="160" spans="1:9" x14ac:dyDescent="0.25">
      <c r="A160" t="s">
        <v>192</v>
      </c>
      <c r="B160" s="1">
        <v>45775</v>
      </c>
      <c r="C160" t="s">
        <v>76</v>
      </c>
      <c r="D160" t="s">
        <v>18</v>
      </c>
      <c r="E160" t="s">
        <v>29</v>
      </c>
      <c r="F160">
        <v>23866.65</v>
      </c>
      <c r="G160">
        <v>13</v>
      </c>
      <c r="H160">
        <v>3554.93</v>
      </c>
      <c r="I160">
        <v>0.28999999999999998</v>
      </c>
    </row>
    <row r="161" spans="1:9" x14ac:dyDescent="0.25">
      <c r="A161" t="s">
        <v>193</v>
      </c>
      <c r="B161" s="1">
        <v>45788</v>
      </c>
      <c r="C161" t="s">
        <v>31</v>
      </c>
      <c r="D161" t="s">
        <v>15</v>
      </c>
      <c r="E161" t="s">
        <v>33</v>
      </c>
      <c r="F161">
        <v>16271.5</v>
      </c>
      <c r="G161">
        <v>3</v>
      </c>
      <c r="H161">
        <v>2153.16</v>
      </c>
      <c r="I161">
        <v>0.03</v>
      </c>
    </row>
    <row r="162" spans="1:9" x14ac:dyDescent="0.25">
      <c r="A162" t="s">
        <v>194</v>
      </c>
      <c r="B162" s="1">
        <v>45881</v>
      </c>
      <c r="C162" t="s">
        <v>46</v>
      </c>
      <c r="D162" t="s">
        <v>11</v>
      </c>
      <c r="E162" t="s">
        <v>33</v>
      </c>
      <c r="F162">
        <v>43109.82</v>
      </c>
      <c r="G162">
        <v>10</v>
      </c>
      <c r="H162">
        <v>3219.54</v>
      </c>
      <c r="I162">
        <v>0.28000000000000003</v>
      </c>
    </row>
    <row r="163" spans="1:9" x14ac:dyDescent="0.25">
      <c r="A163" t="s">
        <v>195</v>
      </c>
      <c r="B163" s="1">
        <v>45693</v>
      </c>
      <c r="C163" t="s">
        <v>17</v>
      </c>
      <c r="D163" t="s">
        <v>40</v>
      </c>
      <c r="E163" t="s">
        <v>22</v>
      </c>
      <c r="F163">
        <v>11674.04</v>
      </c>
      <c r="G163">
        <v>17</v>
      </c>
      <c r="H163">
        <v>750.74</v>
      </c>
      <c r="I163">
        <v>0.33</v>
      </c>
    </row>
    <row r="164" spans="1:9" x14ac:dyDescent="0.25">
      <c r="A164" t="s">
        <v>196</v>
      </c>
      <c r="B164" s="1">
        <v>45784</v>
      </c>
      <c r="C164" t="s">
        <v>14</v>
      </c>
      <c r="D164" t="s">
        <v>40</v>
      </c>
      <c r="E164" t="s">
        <v>22</v>
      </c>
      <c r="F164">
        <v>15741.62</v>
      </c>
      <c r="G164">
        <v>18</v>
      </c>
      <c r="H164">
        <v>1952.68</v>
      </c>
      <c r="I164">
        <v>0.28000000000000003</v>
      </c>
    </row>
    <row r="165" spans="1:9" x14ac:dyDescent="0.25">
      <c r="A165" t="s">
        <v>197</v>
      </c>
      <c r="B165" s="1">
        <v>45879</v>
      </c>
      <c r="C165" t="s">
        <v>31</v>
      </c>
      <c r="D165" t="s">
        <v>40</v>
      </c>
      <c r="E165" t="s">
        <v>19</v>
      </c>
      <c r="F165">
        <v>13640.54</v>
      </c>
      <c r="G165">
        <v>5</v>
      </c>
      <c r="H165">
        <v>1218.76</v>
      </c>
      <c r="I165">
        <v>0.26</v>
      </c>
    </row>
    <row r="166" spans="1:9" x14ac:dyDescent="0.25">
      <c r="A166" t="s">
        <v>198</v>
      </c>
      <c r="B166" s="1">
        <v>45895</v>
      </c>
      <c r="C166" t="s">
        <v>51</v>
      </c>
      <c r="D166" t="s">
        <v>40</v>
      </c>
      <c r="E166" t="s">
        <v>35</v>
      </c>
      <c r="F166">
        <v>52383.01</v>
      </c>
      <c r="G166">
        <v>12</v>
      </c>
      <c r="H166">
        <v>10396.299999999999</v>
      </c>
      <c r="I166">
        <v>0.03</v>
      </c>
    </row>
    <row r="167" spans="1:9" x14ac:dyDescent="0.25">
      <c r="A167" t="s">
        <v>199</v>
      </c>
      <c r="B167" s="1">
        <v>45767</v>
      </c>
      <c r="C167" t="s">
        <v>51</v>
      </c>
      <c r="D167" t="s">
        <v>15</v>
      </c>
      <c r="E167" t="s">
        <v>22</v>
      </c>
      <c r="F167">
        <v>51171.55</v>
      </c>
      <c r="G167">
        <v>14</v>
      </c>
      <c r="H167">
        <v>10561.63</v>
      </c>
      <c r="I167">
        <v>0.19</v>
      </c>
    </row>
    <row r="168" spans="1:9" x14ac:dyDescent="0.25">
      <c r="A168" t="s">
        <v>200</v>
      </c>
      <c r="B168" s="1">
        <v>45705</v>
      </c>
      <c r="C168" t="s">
        <v>51</v>
      </c>
      <c r="D168" t="s">
        <v>18</v>
      </c>
      <c r="E168" t="s">
        <v>22</v>
      </c>
      <c r="F168">
        <v>2367.0500000000002</v>
      </c>
      <c r="G168">
        <v>8</v>
      </c>
      <c r="H168">
        <v>478.28</v>
      </c>
      <c r="I168">
        <v>0.03</v>
      </c>
    </row>
    <row r="169" spans="1:9" x14ac:dyDescent="0.25">
      <c r="A169" t="s">
        <v>201</v>
      </c>
      <c r="B169" s="1">
        <v>45856</v>
      </c>
      <c r="C169" t="s">
        <v>26</v>
      </c>
      <c r="D169" t="s">
        <v>11</v>
      </c>
      <c r="E169" t="s">
        <v>19</v>
      </c>
      <c r="F169">
        <v>17602.03</v>
      </c>
      <c r="G169">
        <v>13</v>
      </c>
      <c r="H169">
        <v>4345.8599999999997</v>
      </c>
      <c r="I169">
        <v>0.23</v>
      </c>
    </row>
    <row r="170" spans="1:9" x14ac:dyDescent="0.25">
      <c r="A170" t="s">
        <v>202</v>
      </c>
      <c r="B170" s="1">
        <v>45995</v>
      </c>
      <c r="C170" t="s">
        <v>24</v>
      </c>
      <c r="D170" t="s">
        <v>15</v>
      </c>
      <c r="E170" t="s">
        <v>12</v>
      </c>
      <c r="F170">
        <v>57813.35</v>
      </c>
      <c r="G170">
        <v>16</v>
      </c>
      <c r="H170">
        <v>7983.13</v>
      </c>
      <c r="I170">
        <v>0.01</v>
      </c>
    </row>
    <row r="171" spans="1:9" x14ac:dyDescent="0.25">
      <c r="A171" t="s">
        <v>203</v>
      </c>
      <c r="B171" s="1">
        <v>45942</v>
      </c>
      <c r="C171" t="s">
        <v>10</v>
      </c>
      <c r="D171" t="s">
        <v>11</v>
      </c>
      <c r="E171" t="s">
        <v>29</v>
      </c>
      <c r="F171">
        <v>67299.81</v>
      </c>
      <c r="G171">
        <v>18</v>
      </c>
      <c r="H171">
        <v>9247.8799999999992</v>
      </c>
      <c r="I171">
        <v>0.11</v>
      </c>
    </row>
    <row r="172" spans="1:9" x14ac:dyDescent="0.25">
      <c r="A172" t="s">
        <v>204</v>
      </c>
      <c r="B172" s="1">
        <v>45720</v>
      </c>
      <c r="C172" t="s">
        <v>55</v>
      </c>
      <c r="D172" t="s">
        <v>18</v>
      </c>
      <c r="E172" t="s">
        <v>35</v>
      </c>
      <c r="F172">
        <v>35027.68</v>
      </c>
      <c r="G172">
        <v>20</v>
      </c>
      <c r="H172">
        <v>8508.5400000000009</v>
      </c>
      <c r="I172">
        <v>0.28000000000000003</v>
      </c>
    </row>
    <row r="173" spans="1:9" x14ac:dyDescent="0.25">
      <c r="A173" t="s">
        <v>205</v>
      </c>
      <c r="B173" s="1">
        <v>46004</v>
      </c>
      <c r="C173" t="s">
        <v>46</v>
      </c>
      <c r="D173" t="s">
        <v>11</v>
      </c>
      <c r="E173" t="s">
        <v>29</v>
      </c>
      <c r="F173">
        <v>6458.4</v>
      </c>
      <c r="G173">
        <v>19</v>
      </c>
      <c r="H173">
        <v>1146.93</v>
      </c>
      <c r="I173">
        <v>0.18</v>
      </c>
    </row>
    <row r="174" spans="1:9" x14ac:dyDescent="0.25">
      <c r="A174" t="s">
        <v>206</v>
      </c>
      <c r="B174" s="1">
        <v>45820</v>
      </c>
      <c r="C174" t="s">
        <v>14</v>
      </c>
      <c r="D174" t="s">
        <v>40</v>
      </c>
      <c r="E174" t="s">
        <v>22</v>
      </c>
      <c r="F174">
        <v>3675.39</v>
      </c>
      <c r="G174">
        <v>2</v>
      </c>
      <c r="H174">
        <v>388.99</v>
      </c>
      <c r="I174">
        <v>0.17</v>
      </c>
    </row>
    <row r="175" spans="1:9" x14ac:dyDescent="0.25">
      <c r="A175" t="s">
        <v>207</v>
      </c>
      <c r="B175" s="1">
        <v>45805</v>
      </c>
      <c r="C175" t="s">
        <v>31</v>
      </c>
      <c r="D175" t="s">
        <v>18</v>
      </c>
      <c r="E175" t="s">
        <v>35</v>
      </c>
      <c r="F175">
        <v>3699.72</v>
      </c>
      <c r="G175">
        <v>9</v>
      </c>
      <c r="H175">
        <v>680.23</v>
      </c>
      <c r="I175">
        <v>0.2</v>
      </c>
    </row>
    <row r="176" spans="1:9" x14ac:dyDescent="0.25">
      <c r="A176" t="s">
        <v>208</v>
      </c>
      <c r="B176" s="1">
        <v>45960</v>
      </c>
      <c r="C176" t="s">
        <v>46</v>
      </c>
      <c r="D176" t="s">
        <v>18</v>
      </c>
      <c r="E176" t="s">
        <v>29</v>
      </c>
      <c r="F176">
        <v>15925.77</v>
      </c>
      <c r="G176">
        <v>3</v>
      </c>
      <c r="H176">
        <v>1675.69</v>
      </c>
      <c r="I176">
        <v>0.17</v>
      </c>
    </row>
    <row r="177" spans="1:9" x14ac:dyDescent="0.25">
      <c r="A177" t="s">
        <v>209</v>
      </c>
      <c r="B177" s="1">
        <v>45741</v>
      </c>
      <c r="C177" t="s">
        <v>46</v>
      </c>
      <c r="D177" t="s">
        <v>18</v>
      </c>
      <c r="E177" t="s">
        <v>35</v>
      </c>
      <c r="F177">
        <v>9678.48</v>
      </c>
      <c r="G177">
        <v>17</v>
      </c>
      <c r="H177">
        <v>2843.66</v>
      </c>
      <c r="I177">
        <v>0.04</v>
      </c>
    </row>
    <row r="178" spans="1:9" x14ac:dyDescent="0.25">
      <c r="A178" t="s">
        <v>210</v>
      </c>
      <c r="B178" s="1">
        <v>45965</v>
      </c>
      <c r="C178" t="s">
        <v>31</v>
      </c>
      <c r="D178" t="s">
        <v>11</v>
      </c>
      <c r="E178" t="s">
        <v>29</v>
      </c>
      <c r="F178">
        <v>56597.34</v>
      </c>
      <c r="G178">
        <v>5</v>
      </c>
      <c r="H178">
        <v>13694.69</v>
      </c>
      <c r="I178">
        <v>0.14000000000000001</v>
      </c>
    </row>
    <row r="179" spans="1:9" x14ac:dyDescent="0.25">
      <c r="A179" t="s">
        <v>211</v>
      </c>
      <c r="B179" s="1">
        <v>45788</v>
      </c>
      <c r="C179" t="s">
        <v>31</v>
      </c>
      <c r="D179" t="s">
        <v>11</v>
      </c>
      <c r="E179" t="s">
        <v>19</v>
      </c>
      <c r="F179">
        <v>11568.89</v>
      </c>
      <c r="G179">
        <v>9</v>
      </c>
      <c r="H179">
        <v>2068.9499999999998</v>
      </c>
      <c r="I179">
        <v>0.1</v>
      </c>
    </row>
    <row r="180" spans="1:9" x14ac:dyDescent="0.25">
      <c r="A180" t="s">
        <v>212</v>
      </c>
      <c r="B180" s="1">
        <v>45759</v>
      </c>
      <c r="C180" t="s">
        <v>10</v>
      </c>
      <c r="D180" t="s">
        <v>18</v>
      </c>
      <c r="E180" t="s">
        <v>12</v>
      </c>
      <c r="F180">
        <v>64624.41</v>
      </c>
      <c r="G180">
        <v>10</v>
      </c>
      <c r="H180">
        <v>12629.39</v>
      </c>
      <c r="I180">
        <v>0.03</v>
      </c>
    </row>
    <row r="181" spans="1:9" x14ac:dyDescent="0.25">
      <c r="A181" t="s">
        <v>213</v>
      </c>
      <c r="B181" s="1">
        <v>45984</v>
      </c>
      <c r="C181" t="s">
        <v>31</v>
      </c>
      <c r="D181" t="s">
        <v>15</v>
      </c>
      <c r="E181" t="s">
        <v>19</v>
      </c>
      <c r="F181">
        <v>28379.78</v>
      </c>
      <c r="G181">
        <v>5</v>
      </c>
      <c r="H181">
        <v>2369.91</v>
      </c>
      <c r="I181">
        <v>0.11</v>
      </c>
    </row>
    <row r="182" spans="1:9" x14ac:dyDescent="0.25">
      <c r="A182" t="s">
        <v>214</v>
      </c>
      <c r="B182" s="1">
        <v>46010</v>
      </c>
      <c r="C182" t="s">
        <v>26</v>
      </c>
      <c r="D182" t="s">
        <v>18</v>
      </c>
      <c r="E182" t="s">
        <v>12</v>
      </c>
      <c r="F182">
        <v>1623.39</v>
      </c>
      <c r="G182">
        <v>17</v>
      </c>
      <c r="H182">
        <v>399.95</v>
      </c>
      <c r="I182">
        <v>0.15</v>
      </c>
    </row>
    <row r="183" spans="1:9" x14ac:dyDescent="0.25">
      <c r="A183" t="s">
        <v>215</v>
      </c>
      <c r="B183" s="1">
        <v>45852</v>
      </c>
      <c r="C183" t="s">
        <v>46</v>
      </c>
      <c r="D183" t="s">
        <v>40</v>
      </c>
      <c r="E183" t="s">
        <v>33</v>
      </c>
      <c r="F183">
        <v>57810.54</v>
      </c>
      <c r="G183">
        <v>3</v>
      </c>
      <c r="H183">
        <v>12955.01</v>
      </c>
      <c r="I183">
        <v>0.12</v>
      </c>
    </row>
    <row r="184" spans="1:9" x14ac:dyDescent="0.25">
      <c r="A184" t="s">
        <v>216</v>
      </c>
      <c r="B184" s="1">
        <v>45973</v>
      </c>
      <c r="C184" t="s">
        <v>31</v>
      </c>
      <c r="D184" t="s">
        <v>11</v>
      </c>
      <c r="E184" t="s">
        <v>29</v>
      </c>
      <c r="F184">
        <v>60902.15</v>
      </c>
      <c r="G184">
        <v>18</v>
      </c>
      <c r="H184">
        <v>5440.39</v>
      </c>
      <c r="I184">
        <v>0.12</v>
      </c>
    </row>
    <row r="185" spans="1:9" x14ac:dyDescent="0.25">
      <c r="A185" t="s">
        <v>217</v>
      </c>
      <c r="B185" s="1">
        <v>46010</v>
      </c>
      <c r="C185" t="s">
        <v>31</v>
      </c>
      <c r="D185" t="s">
        <v>40</v>
      </c>
      <c r="E185" t="s">
        <v>35</v>
      </c>
      <c r="F185">
        <v>11967.95</v>
      </c>
      <c r="G185">
        <v>3</v>
      </c>
      <c r="H185">
        <v>1164.27</v>
      </c>
      <c r="I185">
        <v>0.09</v>
      </c>
    </row>
    <row r="186" spans="1:9" x14ac:dyDescent="0.25">
      <c r="A186" t="s">
        <v>218</v>
      </c>
      <c r="B186" s="1">
        <v>45707</v>
      </c>
      <c r="C186" t="s">
        <v>14</v>
      </c>
      <c r="D186" t="s">
        <v>15</v>
      </c>
      <c r="E186" t="s">
        <v>12</v>
      </c>
      <c r="F186">
        <v>65018.97</v>
      </c>
      <c r="G186">
        <v>17</v>
      </c>
      <c r="H186">
        <v>12674.82</v>
      </c>
      <c r="I186">
        <v>0.04</v>
      </c>
    </row>
    <row r="187" spans="1:9" x14ac:dyDescent="0.25">
      <c r="A187" t="s">
        <v>219</v>
      </c>
      <c r="B187" s="1">
        <v>45894</v>
      </c>
      <c r="C187" t="s">
        <v>55</v>
      </c>
      <c r="D187" t="s">
        <v>11</v>
      </c>
      <c r="E187" t="s">
        <v>19</v>
      </c>
      <c r="F187">
        <v>11061.3</v>
      </c>
      <c r="G187">
        <v>12</v>
      </c>
      <c r="H187">
        <v>1428.69</v>
      </c>
      <c r="I187">
        <v>0.24</v>
      </c>
    </row>
    <row r="188" spans="1:9" x14ac:dyDescent="0.25">
      <c r="A188" t="s">
        <v>220</v>
      </c>
      <c r="B188" s="1">
        <v>45918</v>
      </c>
      <c r="C188" t="s">
        <v>53</v>
      </c>
      <c r="D188" t="s">
        <v>18</v>
      </c>
      <c r="E188" t="s">
        <v>29</v>
      </c>
      <c r="F188">
        <v>16773.29</v>
      </c>
      <c r="G188">
        <v>19</v>
      </c>
      <c r="H188">
        <v>3319.4</v>
      </c>
      <c r="I188">
        <v>0.27</v>
      </c>
    </row>
    <row r="189" spans="1:9" x14ac:dyDescent="0.25">
      <c r="A189" t="s">
        <v>221</v>
      </c>
      <c r="B189" s="1">
        <v>45834</v>
      </c>
      <c r="C189" t="s">
        <v>28</v>
      </c>
      <c r="D189" t="s">
        <v>40</v>
      </c>
      <c r="E189" t="s">
        <v>22</v>
      </c>
      <c r="F189">
        <v>64845.1</v>
      </c>
      <c r="G189">
        <v>4</v>
      </c>
      <c r="H189">
        <v>6537.05</v>
      </c>
      <c r="I189">
        <v>0.21</v>
      </c>
    </row>
    <row r="190" spans="1:9" x14ac:dyDescent="0.25">
      <c r="A190" t="s">
        <v>222</v>
      </c>
      <c r="B190" s="1">
        <v>45678</v>
      </c>
      <c r="C190" t="s">
        <v>21</v>
      </c>
      <c r="D190" t="s">
        <v>11</v>
      </c>
      <c r="E190" t="s">
        <v>35</v>
      </c>
      <c r="F190">
        <v>38854.339999999997</v>
      </c>
      <c r="G190">
        <v>17</v>
      </c>
      <c r="H190">
        <v>8002.24</v>
      </c>
      <c r="I190">
        <v>0.08</v>
      </c>
    </row>
    <row r="191" spans="1:9" x14ac:dyDescent="0.25">
      <c r="A191" t="s">
        <v>223</v>
      </c>
      <c r="B191" s="1">
        <v>45854</v>
      </c>
      <c r="C191" t="s">
        <v>46</v>
      </c>
      <c r="D191" t="s">
        <v>18</v>
      </c>
      <c r="E191" t="s">
        <v>33</v>
      </c>
      <c r="F191">
        <v>15629.05</v>
      </c>
      <c r="G191">
        <v>20</v>
      </c>
      <c r="H191">
        <v>3832.67</v>
      </c>
      <c r="I191">
        <v>0.12</v>
      </c>
    </row>
    <row r="192" spans="1:9" x14ac:dyDescent="0.25">
      <c r="A192" t="s">
        <v>224</v>
      </c>
      <c r="B192" s="1">
        <v>45887</v>
      </c>
      <c r="C192" t="s">
        <v>17</v>
      </c>
      <c r="D192" t="s">
        <v>15</v>
      </c>
      <c r="E192" t="s">
        <v>29</v>
      </c>
      <c r="F192">
        <v>71375.259999999995</v>
      </c>
      <c r="G192">
        <v>2</v>
      </c>
      <c r="H192">
        <v>9472.6299999999992</v>
      </c>
      <c r="I192">
        <v>0.12</v>
      </c>
    </row>
    <row r="193" spans="1:9" x14ac:dyDescent="0.25">
      <c r="A193" t="s">
        <v>225</v>
      </c>
      <c r="B193" s="1">
        <v>45780</v>
      </c>
      <c r="C193" t="s">
        <v>53</v>
      </c>
      <c r="D193" t="s">
        <v>40</v>
      </c>
      <c r="E193" t="s">
        <v>19</v>
      </c>
      <c r="F193">
        <v>7705.72</v>
      </c>
      <c r="G193">
        <v>5</v>
      </c>
      <c r="H193">
        <v>648.14</v>
      </c>
      <c r="I193">
        <v>0.2</v>
      </c>
    </row>
    <row r="194" spans="1:9" x14ac:dyDescent="0.25">
      <c r="A194" t="s">
        <v>226</v>
      </c>
      <c r="B194" s="1">
        <v>45950</v>
      </c>
      <c r="C194" t="s">
        <v>24</v>
      </c>
      <c r="D194" t="s">
        <v>11</v>
      </c>
      <c r="E194" t="s">
        <v>33</v>
      </c>
      <c r="F194">
        <v>17832.38</v>
      </c>
      <c r="G194">
        <v>14</v>
      </c>
      <c r="H194">
        <v>1648.47</v>
      </c>
      <c r="I194">
        <v>0.33</v>
      </c>
    </row>
    <row r="195" spans="1:9" x14ac:dyDescent="0.25">
      <c r="A195" t="s">
        <v>227</v>
      </c>
      <c r="B195" s="1">
        <v>45957</v>
      </c>
      <c r="C195" t="s">
        <v>42</v>
      </c>
      <c r="D195" t="s">
        <v>15</v>
      </c>
      <c r="E195" t="s">
        <v>35</v>
      </c>
      <c r="F195">
        <v>3229.36</v>
      </c>
      <c r="G195">
        <v>14</v>
      </c>
      <c r="H195">
        <v>704.11</v>
      </c>
      <c r="I195">
        <v>0.16</v>
      </c>
    </row>
    <row r="196" spans="1:9" x14ac:dyDescent="0.25">
      <c r="A196" t="s">
        <v>228</v>
      </c>
      <c r="B196" s="1">
        <v>45756</v>
      </c>
      <c r="C196" t="s">
        <v>14</v>
      </c>
      <c r="D196" t="s">
        <v>11</v>
      </c>
      <c r="E196" t="s">
        <v>22</v>
      </c>
      <c r="F196">
        <v>19345.23</v>
      </c>
      <c r="G196">
        <v>19</v>
      </c>
      <c r="H196">
        <v>4226.24</v>
      </c>
      <c r="I196">
        <v>0.1</v>
      </c>
    </row>
    <row r="197" spans="1:9" x14ac:dyDescent="0.25">
      <c r="A197" t="s">
        <v>229</v>
      </c>
      <c r="B197" s="1">
        <v>45712</v>
      </c>
      <c r="C197" t="s">
        <v>24</v>
      </c>
      <c r="D197" t="s">
        <v>15</v>
      </c>
      <c r="E197" t="s">
        <v>29</v>
      </c>
      <c r="F197">
        <v>55391.839999999997</v>
      </c>
      <c r="G197">
        <v>3</v>
      </c>
      <c r="H197">
        <v>10506.49</v>
      </c>
      <c r="I197">
        <v>0.21</v>
      </c>
    </row>
    <row r="198" spans="1:9" x14ac:dyDescent="0.25">
      <c r="A198" t="s">
        <v>230</v>
      </c>
      <c r="B198" s="1">
        <v>45997</v>
      </c>
      <c r="C198" t="s">
        <v>10</v>
      </c>
      <c r="D198" t="s">
        <v>11</v>
      </c>
      <c r="E198" t="s">
        <v>33</v>
      </c>
      <c r="F198">
        <v>40994.11</v>
      </c>
      <c r="G198">
        <v>3</v>
      </c>
      <c r="H198">
        <v>8175.57</v>
      </c>
      <c r="I198">
        <v>0.28999999999999998</v>
      </c>
    </row>
    <row r="199" spans="1:9" x14ac:dyDescent="0.25">
      <c r="A199" t="s">
        <v>231</v>
      </c>
      <c r="B199" s="1">
        <v>45785</v>
      </c>
      <c r="C199" t="s">
        <v>24</v>
      </c>
      <c r="D199" t="s">
        <v>18</v>
      </c>
      <c r="E199" t="s">
        <v>12</v>
      </c>
      <c r="F199">
        <v>31172.240000000002</v>
      </c>
      <c r="G199">
        <v>9</v>
      </c>
      <c r="H199">
        <v>5256.88</v>
      </c>
      <c r="I199">
        <v>0.14000000000000001</v>
      </c>
    </row>
    <row r="200" spans="1:9" x14ac:dyDescent="0.25">
      <c r="A200" t="s">
        <v>232</v>
      </c>
      <c r="B200" s="1">
        <v>45854</v>
      </c>
      <c r="C200" t="s">
        <v>51</v>
      </c>
      <c r="D200" t="s">
        <v>40</v>
      </c>
      <c r="E200" t="s">
        <v>35</v>
      </c>
      <c r="F200">
        <v>37312.870000000003</v>
      </c>
      <c r="G200">
        <v>20</v>
      </c>
      <c r="H200">
        <v>4197.68</v>
      </c>
      <c r="I200">
        <v>0.21</v>
      </c>
    </row>
    <row r="201" spans="1:9" x14ac:dyDescent="0.25">
      <c r="A201" t="s">
        <v>233</v>
      </c>
      <c r="B201" s="1">
        <v>45907</v>
      </c>
      <c r="C201" t="s">
        <v>46</v>
      </c>
      <c r="D201" t="s">
        <v>11</v>
      </c>
      <c r="E201" t="s">
        <v>35</v>
      </c>
      <c r="F201">
        <v>16962.93</v>
      </c>
      <c r="G201">
        <v>18</v>
      </c>
      <c r="H201">
        <v>3566.2</v>
      </c>
      <c r="I201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4DD9-D12C-4831-B597-02E114836D97}">
  <dimension ref="A1:R24"/>
  <sheetViews>
    <sheetView zoomScale="80" zoomScaleNormal="80" workbookViewId="0">
      <selection activeCell="I13" sqref="I13"/>
    </sheetView>
  </sheetViews>
  <sheetFormatPr defaultRowHeight="15" x14ac:dyDescent="0.25"/>
  <cols>
    <col min="1" max="1" width="15.5703125" customWidth="1"/>
    <col min="2" max="2" width="14" customWidth="1"/>
    <col min="3" max="3" width="14.5703125" bestFit="1" customWidth="1"/>
    <col min="4" max="4" width="15.7109375" customWidth="1"/>
    <col min="5" max="5" width="16" customWidth="1"/>
    <col min="6" max="6" width="14.5703125" customWidth="1"/>
    <col min="7" max="7" width="17.28515625" customWidth="1"/>
    <col min="8" max="8" width="13.140625" customWidth="1"/>
    <col min="9" max="9" width="23.28515625" customWidth="1"/>
    <col min="10" max="10" width="23.140625" customWidth="1"/>
    <col min="11" max="11" width="25.28515625" customWidth="1"/>
    <col min="13" max="13" width="16.5703125" customWidth="1"/>
    <col min="14" max="14" width="15" customWidth="1"/>
    <col min="15" max="16" width="9.140625" customWidth="1"/>
  </cols>
  <sheetData>
    <row r="1" spans="1:18" ht="36" x14ac:dyDescent="0.55000000000000004">
      <c r="A1" s="2"/>
      <c r="B1" s="2"/>
      <c r="C1" s="2"/>
      <c r="D1" s="2"/>
      <c r="E1" s="2"/>
      <c r="F1" s="2"/>
      <c r="G1" s="7"/>
      <c r="H1" s="8" t="s">
        <v>255</v>
      </c>
      <c r="I1" s="7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8.75" x14ac:dyDescent="0.3">
      <c r="A3" s="2"/>
      <c r="B3" s="2"/>
      <c r="C3" s="16" t="s">
        <v>235</v>
      </c>
      <c r="D3" s="2"/>
      <c r="E3" s="16" t="s">
        <v>237</v>
      </c>
      <c r="F3" s="2"/>
      <c r="G3" s="16" t="s">
        <v>240</v>
      </c>
      <c r="H3" s="2"/>
      <c r="I3" s="16" t="s">
        <v>241</v>
      </c>
      <c r="J3" s="2"/>
      <c r="K3" s="16" t="s">
        <v>242</v>
      </c>
      <c r="L3" s="17"/>
      <c r="M3" s="2"/>
      <c r="N3" s="2"/>
      <c r="O3" s="2"/>
      <c r="P3" s="2"/>
      <c r="Q3" s="2"/>
      <c r="R3" s="2"/>
    </row>
    <row r="4" spans="1:18" x14ac:dyDescent="0.25">
      <c r="A4" s="2"/>
      <c r="B4" s="2"/>
      <c r="C4" s="11">
        <v>7401559.3400000017</v>
      </c>
      <c r="D4" s="2"/>
      <c r="E4" s="11">
        <v>1245474.1899999988</v>
      </c>
      <c r="F4" s="2"/>
      <c r="G4" s="11">
        <v>200</v>
      </c>
      <c r="H4" s="2"/>
      <c r="I4" s="11">
        <v>2059</v>
      </c>
      <c r="J4" s="2"/>
      <c r="K4" s="11">
        <v>37007.796700000006</v>
      </c>
      <c r="L4" s="2"/>
      <c r="M4" s="2"/>
      <c r="N4" s="2"/>
      <c r="O4" s="2"/>
      <c r="P4" s="2"/>
      <c r="Q4" s="2"/>
      <c r="R4" s="2"/>
    </row>
    <row r="5" spans="1:18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23.25" x14ac:dyDescent="0.35">
      <c r="A6" s="9" t="s">
        <v>256</v>
      </c>
      <c r="B6" s="10"/>
      <c r="C6" s="10"/>
      <c r="D6" s="9" t="s">
        <v>257</v>
      </c>
      <c r="E6" s="10"/>
      <c r="F6" s="10"/>
      <c r="G6" s="9" t="s">
        <v>258</v>
      </c>
      <c r="H6" s="10"/>
      <c r="I6" s="10"/>
      <c r="J6" s="9" t="s">
        <v>259</v>
      </c>
      <c r="K6" s="10"/>
      <c r="L6" s="10"/>
      <c r="M6" s="9" t="s">
        <v>260</v>
      </c>
      <c r="N6" s="10"/>
      <c r="O6" s="2"/>
      <c r="P6" s="2"/>
      <c r="Q6" s="5"/>
      <c r="R6" s="5"/>
    </row>
    <row r="7" spans="1:18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5.75" x14ac:dyDescent="0.25">
      <c r="A8" s="14" t="s">
        <v>238</v>
      </c>
      <c r="B8" s="14" t="s">
        <v>234</v>
      </c>
      <c r="C8" s="15"/>
      <c r="D8" s="14" t="s">
        <v>238</v>
      </c>
      <c r="E8" s="14" t="s">
        <v>236</v>
      </c>
      <c r="F8" s="15"/>
      <c r="G8" s="14" t="s">
        <v>238</v>
      </c>
      <c r="H8" s="14" t="s">
        <v>234</v>
      </c>
      <c r="I8" s="15"/>
      <c r="J8" s="14" t="s">
        <v>238</v>
      </c>
      <c r="K8" s="14" t="s">
        <v>234</v>
      </c>
      <c r="L8" s="15"/>
      <c r="M8" s="14" t="s">
        <v>238</v>
      </c>
      <c r="N8" s="14" t="s">
        <v>234</v>
      </c>
      <c r="O8" s="2"/>
      <c r="P8" s="2"/>
      <c r="Q8" s="2"/>
      <c r="R8" s="2"/>
    </row>
    <row r="9" spans="1:18" x14ac:dyDescent="0.25">
      <c r="A9" s="12" t="s">
        <v>40</v>
      </c>
      <c r="B9" s="11">
        <v>1355505.01</v>
      </c>
      <c r="C9" s="2"/>
      <c r="D9" s="12" t="s">
        <v>22</v>
      </c>
      <c r="E9" s="11">
        <v>128866.11</v>
      </c>
      <c r="F9" s="2"/>
      <c r="G9" s="13" t="s">
        <v>243</v>
      </c>
      <c r="H9" s="11">
        <v>725891.64999999991</v>
      </c>
      <c r="I9" s="2"/>
      <c r="J9" s="12" t="s">
        <v>24</v>
      </c>
      <c r="K9" s="11">
        <v>759567.41</v>
      </c>
      <c r="L9" s="2"/>
      <c r="M9" s="12" t="s">
        <v>33</v>
      </c>
      <c r="N9" s="11">
        <v>1859795.9299999997</v>
      </c>
      <c r="O9" s="2"/>
      <c r="P9" s="2"/>
      <c r="Q9" s="6"/>
      <c r="R9" s="6"/>
    </row>
    <row r="10" spans="1:18" x14ac:dyDescent="0.25">
      <c r="A10" s="12" t="s">
        <v>15</v>
      </c>
      <c r="B10" s="11">
        <v>1478213.9700000004</v>
      </c>
      <c r="C10" s="2"/>
      <c r="D10" s="12" t="s">
        <v>29</v>
      </c>
      <c r="E10" s="11">
        <v>169160.37999999998</v>
      </c>
      <c r="F10" s="2"/>
      <c r="G10" s="13" t="s">
        <v>244</v>
      </c>
      <c r="H10" s="11">
        <v>482185.50999999989</v>
      </c>
      <c r="I10" s="2"/>
      <c r="J10" s="12" t="s">
        <v>51</v>
      </c>
      <c r="K10" s="11">
        <v>668931.7300000001</v>
      </c>
      <c r="L10" s="2"/>
      <c r="M10" s="12" t="s">
        <v>35</v>
      </c>
      <c r="N10" s="11">
        <v>1346070.83</v>
      </c>
      <c r="O10" s="2"/>
      <c r="P10" s="2"/>
      <c r="Q10" s="6"/>
      <c r="R10" s="6"/>
    </row>
    <row r="11" spans="1:18" x14ac:dyDescent="0.25">
      <c r="A11" s="12" t="s">
        <v>11</v>
      </c>
      <c r="B11" s="11">
        <v>2485617.649999999</v>
      </c>
      <c r="C11" s="2"/>
      <c r="D11" s="12" t="s">
        <v>33</v>
      </c>
      <c r="E11" s="11">
        <v>309368.70999999985</v>
      </c>
      <c r="F11" s="2"/>
      <c r="G11" s="13" t="s">
        <v>245</v>
      </c>
      <c r="H11" s="11">
        <v>689007.82000000007</v>
      </c>
      <c r="I11" s="2"/>
      <c r="J11" s="12" t="s">
        <v>46</v>
      </c>
      <c r="K11" s="11">
        <v>662560.92000000016</v>
      </c>
      <c r="L11" s="2"/>
      <c r="M11" s="12" t="s">
        <v>12</v>
      </c>
      <c r="N11" s="11">
        <v>1337367.29</v>
      </c>
      <c r="O11" s="2"/>
      <c r="P11" s="2"/>
      <c r="Q11" s="6"/>
      <c r="R11" s="6"/>
    </row>
    <row r="12" spans="1:18" x14ac:dyDescent="0.25">
      <c r="A12" s="12" t="s">
        <v>18</v>
      </c>
      <c r="B12" s="11">
        <v>2082222.7099999997</v>
      </c>
      <c r="C12" s="2"/>
      <c r="D12" s="12" t="s">
        <v>12</v>
      </c>
      <c r="E12" s="11">
        <v>223368.52000000002</v>
      </c>
      <c r="F12" s="2"/>
      <c r="G12" s="13" t="s">
        <v>246</v>
      </c>
      <c r="H12" s="11">
        <v>883712.31000000017</v>
      </c>
      <c r="I12" s="2"/>
      <c r="J12" s="12" t="s">
        <v>17</v>
      </c>
      <c r="K12" s="11">
        <v>608721.27</v>
      </c>
      <c r="L12" s="2"/>
      <c r="M12" s="12" t="s">
        <v>19</v>
      </c>
      <c r="N12" s="11">
        <v>1104691.6300000001</v>
      </c>
      <c r="O12" s="2"/>
      <c r="P12" s="2"/>
      <c r="Q12" s="6"/>
      <c r="R12" s="6"/>
    </row>
    <row r="13" spans="1:18" x14ac:dyDescent="0.25">
      <c r="A13" s="12" t="s">
        <v>239</v>
      </c>
      <c r="B13" s="11">
        <v>7401559.3399999989</v>
      </c>
      <c r="C13" s="2"/>
      <c r="D13" s="12" t="s">
        <v>35</v>
      </c>
      <c r="E13" s="11">
        <v>234685.61999999994</v>
      </c>
      <c r="F13" s="2"/>
      <c r="G13" s="13" t="s">
        <v>247</v>
      </c>
      <c r="H13" s="11">
        <v>666756.92999999993</v>
      </c>
      <c r="I13" s="2"/>
      <c r="J13" s="12" t="s">
        <v>53</v>
      </c>
      <c r="K13" s="11">
        <v>596888.38</v>
      </c>
      <c r="L13" s="2"/>
      <c r="M13" s="12" t="s">
        <v>29</v>
      </c>
      <c r="N13" s="11">
        <v>1032261.98</v>
      </c>
      <c r="O13" s="2"/>
      <c r="P13" s="2"/>
      <c r="Q13" s="6"/>
      <c r="R13" s="6"/>
    </row>
    <row r="14" spans="1:18" x14ac:dyDescent="0.25">
      <c r="A14" s="2"/>
      <c r="B14" s="2"/>
      <c r="C14" s="2"/>
      <c r="D14" s="12" t="s">
        <v>19</v>
      </c>
      <c r="E14" s="11">
        <v>180024.85</v>
      </c>
      <c r="F14" s="2"/>
      <c r="G14" s="13" t="s">
        <v>248</v>
      </c>
      <c r="H14" s="11">
        <v>484239.86</v>
      </c>
      <c r="I14" s="2"/>
      <c r="J14" s="12" t="s">
        <v>21</v>
      </c>
      <c r="K14" s="11">
        <v>527169.28999999992</v>
      </c>
      <c r="L14" s="2"/>
      <c r="M14" s="12" t="s">
        <v>239</v>
      </c>
      <c r="N14" s="11">
        <v>6680187.6599999992</v>
      </c>
      <c r="O14" s="2"/>
      <c r="P14" s="2"/>
      <c r="Q14" s="2"/>
      <c r="R14" s="2"/>
    </row>
    <row r="15" spans="1:18" x14ac:dyDescent="0.25">
      <c r="A15" s="2"/>
      <c r="B15" s="2"/>
      <c r="C15" s="2"/>
      <c r="D15" s="12" t="s">
        <v>239</v>
      </c>
      <c r="E15" s="11">
        <v>1245474.19</v>
      </c>
      <c r="F15" s="2"/>
      <c r="G15" s="13" t="s">
        <v>249</v>
      </c>
      <c r="H15" s="11">
        <v>457219.91999999993</v>
      </c>
      <c r="I15" s="2"/>
      <c r="J15" s="12" t="s">
        <v>26</v>
      </c>
      <c r="K15" s="11">
        <v>461298.78</v>
      </c>
      <c r="L15" s="2"/>
      <c r="M15" s="2"/>
      <c r="N15" s="2"/>
      <c r="O15" s="2"/>
      <c r="P15" s="2"/>
      <c r="Q15" s="2"/>
      <c r="R15" s="2"/>
    </row>
    <row r="16" spans="1:18" x14ac:dyDescent="0.25">
      <c r="A16" s="2"/>
      <c r="B16" s="2"/>
      <c r="C16" s="2"/>
      <c r="D16" s="2"/>
      <c r="E16" s="2"/>
      <c r="F16" s="2"/>
      <c r="G16" s="13" t="s">
        <v>250</v>
      </c>
      <c r="H16" s="11">
        <v>639122.31000000006</v>
      </c>
      <c r="I16" s="2"/>
      <c r="J16" s="12" t="s">
        <v>10</v>
      </c>
      <c r="K16" s="11">
        <v>452256.77</v>
      </c>
      <c r="L16" s="2"/>
      <c r="M16" s="2"/>
      <c r="N16" s="2"/>
      <c r="O16" s="2"/>
      <c r="P16" s="2"/>
      <c r="Q16" s="2"/>
      <c r="R16" s="2"/>
    </row>
    <row r="17" spans="1:18" x14ac:dyDescent="0.25">
      <c r="A17" s="2"/>
      <c r="B17" s="2"/>
      <c r="C17" s="2"/>
      <c r="D17" s="2"/>
      <c r="E17" s="2"/>
      <c r="F17" s="2"/>
      <c r="G17" s="13" t="s">
        <v>251</v>
      </c>
      <c r="H17" s="11">
        <v>434942.87999999995</v>
      </c>
      <c r="I17" s="2"/>
      <c r="J17" s="12" t="s">
        <v>76</v>
      </c>
      <c r="K17" s="11">
        <v>426608.39000000007</v>
      </c>
      <c r="L17" s="2"/>
      <c r="M17" s="2"/>
      <c r="N17" s="2"/>
      <c r="O17" s="2"/>
      <c r="P17" s="2"/>
      <c r="Q17" s="2"/>
      <c r="R17" s="2"/>
    </row>
    <row r="18" spans="1:18" x14ac:dyDescent="0.25">
      <c r="A18" s="2"/>
      <c r="B18" s="2"/>
      <c r="C18" s="2"/>
      <c r="D18" s="2"/>
      <c r="E18" s="2"/>
      <c r="F18" s="2"/>
      <c r="G18" s="13" t="s">
        <v>252</v>
      </c>
      <c r="H18" s="11">
        <v>665836.66000000015</v>
      </c>
      <c r="I18" s="2"/>
      <c r="J18" s="12" t="s">
        <v>37</v>
      </c>
      <c r="K18" s="11">
        <v>405187.13</v>
      </c>
      <c r="L18" s="2"/>
      <c r="M18" s="2"/>
      <c r="N18" s="2"/>
      <c r="O18" s="2"/>
      <c r="P18" s="2"/>
      <c r="Q18" s="2"/>
      <c r="R18" s="2"/>
    </row>
    <row r="19" spans="1:18" x14ac:dyDescent="0.25">
      <c r="A19" s="2"/>
      <c r="B19" s="2"/>
      <c r="C19" s="2"/>
      <c r="D19" s="2"/>
      <c r="E19" s="2"/>
      <c r="F19" s="2"/>
      <c r="G19" s="13" t="s">
        <v>253</v>
      </c>
      <c r="H19" s="11">
        <v>480828.4</v>
      </c>
      <c r="I19" s="2"/>
      <c r="J19" s="12" t="s">
        <v>239</v>
      </c>
      <c r="K19" s="11">
        <v>5569190.0700000003</v>
      </c>
      <c r="L19" s="2"/>
      <c r="M19" s="2"/>
      <c r="N19" s="2"/>
      <c r="O19" s="2"/>
      <c r="P19" s="2"/>
      <c r="Q19" s="2"/>
      <c r="R19" s="2"/>
    </row>
    <row r="20" spans="1:18" x14ac:dyDescent="0.25">
      <c r="A20" s="2"/>
      <c r="B20" s="2"/>
      <c r="C20" s="2"/>
      <c r="D20" s="2"/>
      <c r="E20" s="2"/>
      <c r="F20" s="2"/>
      <c r="G20" s="13" t="s">
        <v>254</v>
      </c>
      <c r="H20" s="11">
        <v>791815.09</v>
      </c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2"/>
      <c r="B21" s="2"/>
      <c r="C21" s="2"/>
      <c r="D21" s="2"/>
      <c r="E21" s="2"/>
      <c r="F21" s="2"/>
      <c r="G21" s="13" t="s">
        <v>239</v>
      </c>
      <c r="H21" s="11">
        <v>7401559.3400000008</v>
      </c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36" x14ac:dyDescent="0.55000000000000004">
      <c r="A24" s="2"/>
      <c r="B24" s="2"/>
      <c r="C24" s="2"/>
      <c r="D24" s="2"/>
      <c r="E24" s="2"/>
      <c r="F24" s="2"/>
      <c r="G24" s="3"/>
      <c r="H24" s="4"/>
      <c r="I24" s="3"/>
      <c r="J24" s="2"/>
      <c r="K24" s="2"/>
      <c r="L24" s="2"/>
      <c r="M24" s="2"/>
      <c r="N24" s="2"/>
      <c r="O24" s="2"/>
      <c r="P24" s="2"/>
      <c r="Q24" s="2"/>
      <c r="R24" s="2"/>
    </row>
  </sheetData>
  <phoneticPr fontId="23" type="noConversion"/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cleaned_sales_data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KOTI</dc:creator>
  <cp:lastModifiedBy>KOTI</cp:lastModifiedBy>
  <dcterms:created xsi:type="dcterms:W3CDTF">2026-05-25T13:24:52Z</dcterms:created>
  <dcterms:modified xsi:type="dcterms:W3CDTF">2026-05-25T17:26:52Z</dcterms:modified>
</cp:coreProperties>
</file>